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ocloud.sharepoint.com/sites/236-001TNM/Shared Documents/236-001-003 Estudio hidro oceanográfico/2. Informe/6.- EHO Julio 2025/"/>
    </mc:Choice>
  </mc:AlternateContent>
  <xr:revisionPtr revIDLastSave="379" documentId="13_ncr:40009_{CAABB81F-0CE8-4211-A5DB-502C08839BAD}" xr6:coauthVersionLast="47" xr6:coauthVersionMax="47" xr10:uidLastSave="{A3F2C754-5C53-49B8-8C4E-2CDD86504B4B}"/>
  <bookViews>
    <workbookView xWindow="-120" yWindow="-16320" windowWidth="29040" windowHeight="15720" firstSheet="1" activeTab="2" xr2:uid="{00000000-000D-0000-FFFF-FFFF00000000}"/>
  </bookViews>
  <sheets>
    <sheet name="TablaOcurrencia_APMT_16sectores" sheetId="1" r:id="rId1"/>
    <sheet name="Tabla_Ocurrencia Insideo" sheetId="5" r:id="rId2"/>
    <sheet name="Tabla_Ocurrencia Insideo 2" sheetId="6" r:id="rId3"/>
    <sheet name="Rosa 16" sheetId="3" r:id="rId4"/>
    <sheet name="Tabla_Ocurrencia APMT" sheetId="2" r:id="rId5"/>
    <sheet name="Escenario 2" sheetId="4" r:id="rId6"/>
    <sheet name="Hoja1" sheetId="7" r:id="rId7"/>
  </sheets>
  <definedNames>
    <definedName name="_xlnm._FilterDatabase" localSheetId="6" hidden="1">Hoja1!$A$2:$I$273</definedName>
    <definedName name="_xlnm._FilterDatabase" localSheetId="3" hidden="1">'Rosa 16'!$H$2:$I$10</definedName>
    <definedName name="_xlnm._FilterDatabase" localSheetId="4" hidden="1">'Tabla_Ocurrencia APMT'!$A$2:$I$257</definedName>
    <definedName name="_xlnm._FilterDatabase" localSheetId="2" hidden="1">'Tabla_Ocurrencia Insideo 2'!$A$4:$I$213</definedName>
    <definedName name="_xlnm._FilterDatabase" localSheetId="0" hidden="1">TablaOcurrencia_APMT_16sectores!$B$1:$N$256</definedName>
    <definedName name="_xlnm.Print_Area" localSheetId="2">'Tabla_Ocurrencia Insideo 2'!$A$1:$J$213</definedName>
    <definedName name="_xlnm.Print_Titles" localSheetId="2">'Tabla_Ocurrencia Insideo 2'!$3:$4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7" i="5" l="1"/>
  <c r="B110" i="6" s="1"/>
  <c r="D185" i="5"/>
  <c r="D115" i="5"/>
  <c r="B118" i="6" s="1"/>
  <c r="D126" i="5"/>
  <c r="D186" i="5"/>
  <c r="B189" i="6" s="1"/>
  <c r="D175" i="5"/>
  <c r="D103" i="5"/>
  <c r="D146" i="5"/>
  <c r="D203" i="5"/>
  <c r="D204" i="5"/>
  <c r="D197" i="5"/>
  <c r="D141" i="5"/>
  <c r="D71" i="5"/>
  <c r="B74" i="6" s="1"/>
  <c r="D40" i="5"/>
  <c r="D60" i="5"/>
  <c r="B63" i="6" s="1"/>
  <c r="D205" i="5"/>
  <c r="D138" i="5"/>
  <c r="B141" i="6" s="1"/>
  <c r="D117" i="5"/>
  <c r="D23" i="5"/>
  <c r="B26" i="6" s="1"/>
  <c r="D14" i="5"/>
  <c r="D53" i="5"/>
  <c r="D91" i="5"/>
  <c r="D104" i="5"/>
  <c r="B107" i="6" s="1"/>
  <c r="D142" i="5"/>
  <c r="D86" i="5"/>
  <c r="D50" i="5"/>
  <c r="D31" i="5"/>
  <c r="D51" i="5"/>
  <c r="D54" i="5"/>
  <c r="D41" i="5"/>
  <c r="D100" i="5"/>
  <c r="D124" i="5"/>
  <c r="D125" i="5"/>
  <c r="D102" i="5"/>
  <c r="D65" i="5"/>
  <c r="D108" i="5"/>
  <c r="D135" i="5"/>
  <c r="D56" i="5"/>
  <c r="B59" i="6" s="1"/>
  <c r="D84" i="5"/>
  <c r="B87" i="6" s="1"/>
  <c r="D179" i="5"/>
  <c r="D130" i="5"/>
  <c r="D206" i="5"/>
  <c r="D114" i="5"/>
  <c r="D131" i="5"/>
  <c r="D180" i="5"/>
  <c r="D152" i="5"/>
  <c r="B155" i="6" s="1"/>
  <c r="D176" i="5"/>
  <c r="B179" i="6" s="1"/>
  <c r="D148" i="5"/>
  <c r="B56" i="6" s="1"/>
  <c r="D143" i="5"/>
  <c r="B146" i="6" s="1"/>
  <c r="D63" i="5"/>
  <c r="D118" i="5"/>
  <c r="B121" i="6" s="1"/>
  <c r="D194" i="5"/>
  <c r="D187" i="5"/>
  <c r="B190" i="6" s="1"/>
  <c r="D25" i="5"/>
  <c r="B28" i="6" s="1"/>
  <c r="D29" i="5"/>
  <c r="D73" i="5"/>
  <c r="D177" i="5"/>
  <c r="B180" i="6" s="1"/>
  <c r="D188" i="5"/>
  <c r="D47" i="5"/>
  <c r="B50" i="6" s="1"/>
  <c r="D4" i="5"/>
  <c r="B68" i="6" s="1"/>
  <c r="D5" i="5"/>
  <c r="D43" i="5"/>
  <c r="D105" i="5"/>
  <c r="B108" i="6" s="1"/>
  <c r="D156" i="5"/>
  <c r="D149" i="5"/>
  <c r="D77" i="5"/>
  <c r="D9" i="5"/>
  <c r="B12" i="6" s="1"/>
  <c r="D6" i="5"/>
  <c r="D18" i="5"/>
  <c r="D27" i="5"/>
  <c r="D22" i="5"/>
  <c r="D69" i="5"/>
  <c r="D139" i="5"/>
  <c r="D87" i="5"/>
  <c r="D32" i="5"/>
  <c r="B35" i="6" s="1"/>
  <c r="D16" i="5"/>
  <c r="D59" i="5"/>
  <c r="B62" i="6" s="1"/>
  <c r="D58" i="5"/>
  <c r="D26" i="5"/>
  <c r="D36" i="5"/>
  <c r="D171" i="5"/>
  <c r="D82" i="5"/>
  <c r="B85" i="6" s="1"/>
  <c r="D68" i="5"/>
  <c r="B71" i="6" s="1"/>
  <c r="D198" i="5"/>
  <c r="D83" i="5"/>
  <c r="B86" i="6" s="1"/>
  <c r="D79" i="5"/>
  <c r="D157" i="5"/>
  <c r="D122" i="5"/>
  <c r="D119" i="5"/>
  <c r="D133" i="5"/>
  <c r="D153" i="5"/>
  <c r="B156" i="6" s="1"/>
  <c r="D199" i="5"/>
  <c r="D189" i="5"/>
  <c r="B192" i="6" s="1"/>
  <c r="D44" i="5"/>
  <c r="D127" i="5"/>
  <c r="D162" i="5"/>
  <c r="B104" i="6" s="1"/>
  <c r="D21" i="5"/>
  <c r="B24" i="6" s="1"/>
  <c r="D49" i="5"/>
  <c r="D150" i="5"/>
  <c r="D46" i="5"/>
  <c r="B49" i="6" s="1"/>
  <c r="D7" i="5"/>
  <c r="D11" i="5"/>
  <c r="D99" i="5"/>
  <c r="D55" i="5"/>
  <c r="B112" i="6" s="1"/>
  <c r="D3" i="5"/>
  <c r="D2" i="5"/>
  <c r="D34" i="5"/>
  <c r="B37" i="6" s="1"/>
  <c r="D57" i="5"/>
  <c r="D62" i="5"/>
  <c r="D147" i="5"/>
  <c r="D93" i="5"/>
  <c r="D17" i="5"/>
  <c r="D12" i="5"/>
  <c r="D72" i="5"/>
  <c r="B75" i="6" s="1"/>
  <c r="D67" i="5"/>
  <c r="B70" i="6" s="1"/>
  <c r="D37" i="5"/>
  <c r="D61" i="5"/>
  <c r="D144" i="5"/>
  <c r="D74" i="5"/>
  <c r="D48" i="5"/>
  <c r="B128" i="6" s="1"/>
  <c r="D181" i="5"/>
  <c r="B184" i="6" s="1"/>
  <c r="D165" i="5"/>
  <c r="B168" i="6" s="1"/>
  <c r="D97" i="5"/>
  <c r="B100" i="6" s="1"/>
  <c r="D94" i="5"/>
  <c r="B97" i="6" s="1"/>
  <c r="D166" i="5"/>
  <c r="B133" i="6" s="1"/>
  <c r="D160" i="5"/>
  <c r="D136" i="5"/>
  <c r="D169" i="5"/>
  <c r="B136" i="6" s="1"/>
  <c r="D190" i="5"/>
  <c r="D200" i="5"/>
  <c r="D207" i="5"/>
  <c r="D70" i="5"/>
  <c r="B140" i="6" s="1"/>
  <c r="D24" i="5"/>
  <c r="B27" i="6" s="1"/>
  <c r="D96" i="5"/>
  <c r="B142" i="6" s="1"/>
  <c r="D64" i="5"/>
  <c r="D15" i="5"/>
  <c r="D38" i="5"/>
  <c r="D76" i="5"/>
  <c r="D8" i="5"/>
  <c r="D10" i="5"/>
  <c r="D101" i="5"/>
  <c r="D137" i="5"/>
  <c r="D191" i="5"/>
  <c r="D90" i="5"/>
  <c r="B152" i="6" s="1"/>
  <c r="D19" i="5"/>
  <c r="B22" i="6" s="1"/>
  <c r="D20" i="5"/>
  <c r="D98" i="5"/>
  <c r="D123" i="5"/>
  <c r="D109" i="5"/>
  <c r="D163" i="5"/>
  <c r="B166" i="6" s="1"/>
  <c r="D158" i="5"/>
  <c r="B161" i="6" s="1"/>
  <c r="D85" i="5"/>
  <c r="D80" i="5"/>
  <c r="D201" i="5"/>
  <c r="B204" i="6" s="1"/>
  <c r="D208" i="5"/>
  <c r="D164" i="5"/>
  <c r="B167" i="6" s="1"/>
  <c r="D132" i="5"/>
  <c r="D145" i="5"/>
  <c r="D182" i="5"/>
  <c r="D35" i="5"/>
  <c r="B38" i="6" s="1"/>
  <c r="D128" i="5"/>
  <c r="D89" i="5"/>
  <c r="D45" i="5"/>
  <c r="B48" i="6" s="1"/>
  <c r="D95" i="5"/>
  <c r="B172" i="6" s="1"/>
  <c r="D106" i="5"/>
  <c r="B109" i="6" s="1"/>
  <c r="D13" i="5"/>
  <c r="B174" i="6" s="1"/>
  <c r="D30" i="5"/>
  <c r="D159" i="5"/>
  <c r="B176" i="6" s="1"/>
  <c r="D161" i="5"/>
  <c r="B164" i="6" s="1"/>
  <c r="D28" i="5"/>
  <c r="D39" i="5"/>
  <c r="D121" i="5"/>
  <c r="D178" i="5"/>
  <c r="D195" i="5"/>
  <c r="D92" i="5"/>
  <c r="D113" i="5"/>
  <c r="D183" i="5"/>
  <c r="D170" i="5"/>
  <c r="D184" i="5"/>
  <c r="D192" i="5"/>
  <c r="D52" i="5"/>
  <c r="D196" i="5"/>
  <c r="D134" i="5"/>
  <c r="D88" i="5"/>
  <c r="D172" i="5"/>
  <c r="D33" i="5"/>
  <c r="B36" i="6" s="1"/>
  <c r="D66" i="5"/>
  <c r="D209" i="5"/>
  <c r="B196" i="6" s="1"/>
  <c r="D42" i="5"/>
  <c r="D75" i="5"/>
  <c r="D120" i="5"/>
  <c r="D155" i="5"/>
  <c r="B200" i="6" s="1"/>
  <c r="D112" i="5"/>
  <c r="D167" i="5"/>
  <c r="D81" i="5"/>
  <c r="B84" i="6" s="1"/>
  <c r="D210" i="5"/>
  <c r="D78" i="5"/>
  <c r="D111" i="5"/>
  <c r="D193" i="5"/>
  <c r="D202" i="5"/>
  <c r="D140" i="5"/>
  <c r="B143" i="6" s="1"/>
  <c r="D173" i="5"/>
  <c r="D129" i="5"/>
  <c r="B211" i="6" s="1"/>
  <c r="D110" i="5"/>
  <c r="D168" i="5"/>
  <c r="D174" i="5"/>
  <c r="D116" i="5"/>
  <c r="B119" i="6" s="1"/>
  <c r="D151" i="5"/>
  <c r="B57" i="6"/>
  <c r="B131" i="6"/>
  <c r="D154" i="5"/>
  <c r="B157" i="6" s="1"/>
  <c r="B169" i="6"/>
  <c r="B181" i="6"/>
  <c r="A5" i="6"/>
  <c r="A6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5" i="6"/>
  <c r="B11" i="6"/>
  <c r="B14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5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E211" i="5"/>
  <c r="J107" i="5" s="1"/>
  <c r="K211" i="5"/>
  <c r="J4" i="3"/>
  <c r="J5" i="3"/>
  <c r="J6" i="3"/>
  <c r="J7" i="3"/>
  <c r="J8" i="3"/>
  <c r="J9" i="3"/>
  <c r="J10" i="3"/>
  <c r="J3" i="3"/>
  <c r="E22" i="3"/>
  <c r="E21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4" i="4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3" i="2"/>
  <c r="P2" i="1"/>
  <c r="M10" i="1" s="1"/>
  <c r="H11" i="2" s="1"/>
  <c r="B76" i="6" l="1"/>
  <c r="B116" i="6"/>
  <c r="B80" i="6"/>
  <c r="B44" i="6"/>
  <c r="B139" i="6"/>
  <c r="B79" i="6"/>
  <c r="B102" i="6"/>
  <c r="B212" i="6"/>
  <c r="B92" i="6"/>
  <c r="B32" i="6"/>
  <c r="B163" i="6"/>
  <c r="B127" i="6"/>
  <c r="B103" i="6"/>
  <c r="B198" i="6"/>
  <c r="B114" i="6"/>
  <c r="B98" i="6"/>
  <c r="B178" i="6"/>
  <c r="I192" i="5"/>
  <c r="I90" i="5"/>
  <c r="H93" i="6" s="1"/>
  <c r="I108" i="5"/>
  <c r="J192" i="5"/>
  <c r="J90" i="5"/>
  <c r="I93" i="6" s="1"/>
  <c r="J108" i="5"/>
  <c r="I111" i="6" s="1"/>
  <c r="B99" i="6"/>
  <c r="I184" i="5"/>
  <c r="I191" i="5"/>
  <c r="H194" i="6" s="1"/>
  <c r="I65" i="5"/>
  <c r="H68" i="6" s="1"/>
  <c r="I151" i="5"/>
  <c r="H154" i="6" s="1"/>
  <c r="I121" i="5"/>
  <c r="H124" i="6" s="1"/>
  <c r="I15" i="5"/>
  <c r="I51" i="5"/>
  <c r="I69" i="5"/>
  <c r="J57" i="5"/>
  <c r="I22" i="5"/>
  <c r="H25" i="6" s="1"/>
  <c r="I156" i="5"/>
  <c r="H159" i="6" s="1"/>
  <c r="J46" i="5"/>
  <c r="I49" i="6" s="1"/>
  <c r="I105" i="5"/>
  <c r="H108" i="6" s="1"/>
  <c r="I25" i="5"/>
  <c r="H28" i="6" s="1"/>
  <c r="J133" i="5"/>
  <c r="I187" i="5"/>
  <c r="H190" i="6" s="1"/>
  <c r="B58" i="6"/>
  <c r="I75" i="5"/>
  <c r="I201" i="5"/>
  <c r="H204" i="6" s="1"/>
  <c r="I144" i="5"/>
  <c r="H147" i="6" s="1"/>
  <c r="I82" i="5"/>
  <c r="I152" i="5"/>
  <c r="H155" i="6" s="1"/>
  <c r="I204" i="5"/>
  <c r="H207" i="6" s="1"/>
  <c r="I57" i="5"/>
  <c r="H60" i="6" s="1"/>
  <c r="J69" i="5"/>
  <c r="I34" i="5"/>
  <c r="H37" i="6" s="1"/>
  <c r="I46" i="5"/>
  <c r="J156" i="5"/>
  <c r="I150" i="5"/>
  <c r="H153" i="6" s="1"/>
  <c r="I133" i="5"/>
  <c r="J25" i="5"/>
  <c r="I119" i="5"/>
  <c r="H122" i="6" s="1"/>
  <c r="J75" i="5"/>
  <c r="J201" i="5"/>
  <c r="I204" i="6" s="1"/>
  <c r="J144" i="5"/>
  <c r="I147" i="6" s="1"/>
  <c r="J82" i="5"/>
  <c r="I85" i="6" s="1"/>
  <c r="J152" i="5"/>
  <c r="J204" i="5"/>
  <c r="I207" i="6" s="1"/>
  <c r="J151" i="5"/>
  <c r="J121" i="5"/>
  <c r="J15" i="5"/>
  <c r="I18" i="6" s="1"/>
  <c r="J51" i="5"/>
  <c r="I116" i="5"/>
  <c r="H119" i="6" s="1"/>
  <c r="I39" i="5"/>
  <c r="H42" i="6" s="1"/>
  <c r="I64" i="5"/>
  <c r="I31" i="5"/>
  <c r="H34" i="6" s="1"/>
  <c r="I111" i="5"/>
  <c r="H114" i="6" s="1"/>
  <c r="I89" i="5"/>
  <c r="H92" i="6" s="1"/>
  <c r="I160" i="5"/>
  <c r="H163" i="6" s="1"/>
  <c r="I117" i="5"/>
  <c r="H120" i="6" s="1"/>
  <c r="J111" i="5"/>
  <c r="I114" i="6" s="1"/>
  <c r="J89" i="5"/>
  <c r="J160" i="5"/>
  <c r="J117" i="5"/>
  <c r="I78" i="5"/>
  <c r="I128" i="5"/>
  <c r="I166" i="5"/>
  <c r="I138" i="5"/>
  <c r="H141" i="6" s="1"/>
  <c r="B8" i="6"/>
  <c r="I42" i="5"/>
  <c r="H45" i="6" s="1"/>
  <c r="I80" i="5"/>
  <c r="I61" i="5"/>
  <c r="H64" i="6" s="1"/>
  <c r="I171" i="5"/>
  <c r="H174" i="6" s="1"/>
  <c r="I180" i="5"/>
  <c r="H183" i="6" s="1"/>
  <c r="I203" i="5"/>
  <c r="H206" i="6" s="1"/>
  <c r="I110" i="5"/>
  <c r="I210" i="5"/>
  <c r="H213" i="6" s="1"/>
  <c r="I33" i="5"/>
  <c r="H36" i="6" s="1"/>
  <c r="I170" i="5"/>
  <c r="I159" i="5"/>
  <c r="H162" i="6" s="1"/>
  <c r="I35" i="5"/>
  <c r="H38" i="6" s="1"/>
  <c r="I163" i="5"/>
  <c r="H166" i="6" s="1"/>
  <c r="I70" i="5"/>
  <c r="H73" i="6" s="1"/>
  <c r="I94" i="5"/>
  <c r="H97" i="6" s="1"/>
  <c r="I72" i="5"/>
  <c r="H75" i="6" s="1"/>
  <c r="I2" i="5"/>
  <c r="I162" i="5"/>
  <c r="H165" i="6" s="1"/>
  <c r="I122" i="5"/>
  <c r="I58" i="5"/>
  <c r="H61" i="6" s="1"/>
  <c r="I27" i="5"/>
  <c r="I4" i="5"/>
  <c r="I194" i="5"/>
  <c r="H197" i="6" s="1"/>
  <c r="I206" i="5"/>
  <c r="H209" i="6" s="1"/>
  <c r="I102" i="5"/>
  <c r="H105" i="6" s="1"/>
  <c r="I142" i="5"/>
  <c r="H145" i="6" s="1"/>
  <c r="I175" i="5"/>
  <c r="H178" i="6" s="1"/>
  <c r="B145" i="6"/>
  <c r="B15" i="6"/>
  <c r="J110" i="5"/>
  <c r="I113" i="6" s="1"/>
  <c r="J210" i="5"/>
  <c r="J33" i="5"/>
  <c r="I36" i="6" s="1"/>
  <c r="J170" i="5"/>
  <c r="J159" i="5"/>
  <c r="J35" i="5"/>
  <c r="I38" i="6" s="1"/>
  <c r="J163" i="5"/>
  <c r="I166" i="6" s="1"/>
  <c r="J137" i="5"/>
  <c r="I140" i="6" s="1"/>
  <c r="J70" i="5"/>
  <c r="J94" i="5"/>
  <c r="I97" i="6" s="1"/>
  <c r="J72" i="5"/>
  <c r="I75" i="6" s="1"/>
  <c r="J2" i="5"/>
  <c r="J162" i="5"/>
  <c r="I165" i="6" s="1"/>
  <c r="J122" i="5"/>
  <c r="J58" i="5"/>
  <c r="J27" i="5"/>
  <c r="I30" i="6" s="1"/>
  <c r="J4" i="5"/>
  <c r="J194" i="5"/>
  <c r="I197" i="6" s="1"/>
  <c r="J206" i="5"/>
  <c r="I209" i="6" s="1"/>
  <c r="J102" i="5"/>
  <c r="I105" i="6" s="1"/>
  <c r="J142" i="5"/>
  <c r="I145" i="6" s="1"/>
  <c r="J205" i="5"/>
  <c r="I208" i="6" s="1"/>
  <c r="J175" i="5"/>
  <c r="I178" i="6" s="1"/>
  <c r="I129" i="5"/>
  <c r="H132" i="6" s="1"/>
  <c r="I81" i="5"/>
  <c r="H84" i="6" s="1"/>
  <c r="I172" i="5"/>
  <c r="I183" i="5"/>
  <c r="I30" i="5"/>
  <c r="I182" i="5"/>
  <c r="I109" i="5"/>
  <c r="H112" i="6" s="1"/>
  <c r="I101" i="5"/>
  <c r="H104" i="6" s="1"/>
  <c r="I207" i="5"/>
  <c r="H210" i="6" s="1"/>
  <c r="I97" i="5"/>
  <c r="H100" i="6" s="1"/>
  <c r="I12" i="5"/>
  <c r="H15" i="6" s="1"/>
  <c r="I3" i="5"/>
  <c r="H6" i="6" s="1"/>
  <c r="I127" i="5"/>
  <c r="H130" i="6" s="1"/>
  <c r="I157" i="5"/>
  <c r="H160" i="6" s="1"/>
  <c r="I59" i="5"/>
  <c r="I18" i="5"/>
  <c r="I47" i="5"/>
  <c r="H50" i="6" s="1"/>
  <c r="I118" i="5"/>
  <c r="I130" i="5"/>
  <c r="I125" i="5"/>
  <c r="H128" i="6" s="1"/>
  <c r="I104" i="5"/>
  <c r="H107" i="6" s="1"/>
  <c r="I60" i="5"/>
  <c r="H63" i="6" s="1"/>
  <c r="I186" i="5"/>
  <c r="H189" i="6" s="1"/>
  <c r="J78" i="5"/>
  <c r="I81" i="6" s="1"/>
  <c r="J184" i="5"/>
  <c r="I187" i="6" s="1"/>
  <c r="I85" i="5"/>
  <c r="H88" i="6" s="1"/>
  <c r="I96" i="5"/>
  <c r="J34" i="5"/>
  <c r="J119" i="5"/>
  <c r="I122" i="6" s="1"/>
  <c r="J22" i="5"/>
  <c r="J187" i="5"/>
  <c r="I190" i="6" s="1"/>
  <c r="J65" i="5"/>
  <c r="I68" i="6" s="1"/>
  <c r="J138" i="5"/>
  <c r="I141" i="6" s="1"/>
  <c r="I205" i="5"/>
  <c r="H208" i="6" s="1"/>
  <c r="I167" i="5"/>
  <c r="H170" i="6" s="1"/>
  <c r="I113" i="5"/>
  <c r="H116" i="6" s="1"/>
  <c r="I145" i="5"/>
  <c r="H148" i="6" s="1"/>
  <c r="I10" i="5"/>
  <c r="H13" i="6" s="1"/>
  <c r="I165" i="5"/>
  <c r="I55" i="5"/>
  <c r="H58" i="6" s="1"/>
  <c r="I79" i="5"/>
  <c r="H82" i="6" s="1"/>
  <c r="I6" i="5"/>
  <c r="I63" i="5"/>
  <c r="H66" i="6" s="1"/>
  <c r="I124" i="5"/>
  <c r="H127" i="6" s="1"/>
  <c r="J186" i="5"/>
  <c r="I189" i="6" s="1"/>
  <c r="I173" i="5"/>
  <c r="H176" i="6" s="1"/>
  <c r="I141" i="5"/>
  <c r="H144" i="6" s="1"/>
  <c r="B201" i="6"/>
  <c r="B16" i="6"/>
  <c r="J173" i="5"/>
  <c r="I176" i="6" s="1"/>
  <c r="J155" i="5"/>
  <c r="J88" i="5"/>
  <c r="J195" i="5"/>
  <c r="I198" i="6" s="1"/>
  <c r="J13" i="5"/>
  <c r="J164" i="5"/>
  <c r="I167" i="6" s="1"/>
  <c r="J123" i="5"/>
  <c r="I126" i="6" s="1"/>
  <c r="J76" i="5"/>
  <c r="I79" i="6" s="1"/>
  <c r="J200" i="5"/>
  <c r="I203" i="6" s="1"/>
  <c r="J48" i="5"/>
  <c r="I51" i="6" s="1"/>
  <c r="J17" i="5"/>
  <c r="I20" i="6" s="1"/>
  <c r="J11" i="5"/>
  <c r="I14" i="6" s="1"/>
  <c r="J44" i="5"/>
  <c r="I47" i="6" s="1"/>
  <c r="J198" i="5"/>
  <c r="J16" i="5"/>
  <c r="J77" i="5"/>
  <c r="J188" i="5"/>
  <c r="J148" i="5"/>
  <c r="I151" i="6" s="1"/>
  <c r="J179" i="5"/>
  <c r="I182" i="6" s="1"/>
  <c r="J41" i="5"/>
  <c r="I44" i="6" s="1"/>
  <c r="J91" i="5"/>
  <c r="I94" i="6" s="1"/>
  <c r="J141" i="5"/>
  <c r="I144" i="6" s="1"/>
  <c r="J126" i="5"/>
  <c r="I129" i="6" s="1"/>
  <c r="J128" i="5"/>
  <c r="I131" i="6" s="1"/>
  <c r="I88" i="5"/>
  <c r="H91" i="6" s="1"/>
  <c r="I195" i="5"/>
  <c r="I13" i="5"/>
  <c r="I164" i="5"/>
  <c r="H167" i="6" s="1"/>
  <c r="I123" i="5"/>
  <c r="I76" i="5"/>
  <c r="H79" i="6" s="1"/>
  <c r="I200" i="5"/>
  <c r="H203" i="6" s="1"/>
  <c r="I48" i="5"/>
  <c r="H51" i="6" s="1"/>
  <c r="I17" i="5"/>
  <c r="H20" i="6" s="1"/>
  <c r="I11" i="5"/>
  <c r="H14" i="6" s="1"/>
  <c r="I44" i="5"/>
  <c r="H47" i="6" s="1"/>
  <c r="I198" i="5"/>
  <c r="H201" i="6" s="1"/>
  <c r="I16" i="5"/>
  <c r="H19" i="6" s="1"/>
  <c r="I77" i="5"/>
  <c r="I188" i="5"/>
  <c r="I148" i="5"/>
  <c r="H151" i="6" s="1"/>
  <c r="I179" i="5"/>
  <c r="I41" i="5"/>
  <c r="H44" i="6" s="1"/>
  <c r="I91" i="5"/>
  <c r="B51" i="6"/>
  <c r="B6" i="6"/>
  <c r="B202" i="6"/>
  <c r="B106" i="6"/>
  <c r="I140" i="5"/>
  <c r="H143" i="6" s="1"/>
  <c r="I120" i="5"/>
  <c r="H123" i="6" s="1"/>
  <c r="I134" i="5"/>
  <c r="I178" i="5"/>
  <c r="H181" i="6" s="1"/>
  <c r="I106" i="5"/>
  <c r="H109" i="6" s="1"/>
  <c r="I208" i="5"/>
  <c r="I98" i="5"/>
  <c r="H101" i="6" s="1"/>
  <c r="I38" i="5"/>
  <c r="I190" i="5"/>
  <c r="H193" i="6" s="1"/>
  <c r="I74" i="5"/>
  <c r="H77" i="6" s="1"/>
  <c r="I93" i="5"/>
  <c r="H96" i="6" s="1"/>
  <c r="I7" i="5"/>
  <c r="H10" i="6" s="1"/>
  <c r="I189" i="5"/>
  <c r="H192" i="6" s="1"/>
  <c r="I68" i="5"/>
  <c r="H71" i="6" s="1"/>
  <c r="I32" i="5"/>
  <c r="I149" i="5"/>
  <c r="H152" i="6" s="1"/>
  <c r="I177" i="5"/>
  <c r="H180" i="6" s="1"/>
  <c r="I176" i="5"/>
  <c r="I84" i="5"/>
  <c r="H87" i="6" s="1"/>
  <c r="I54" i="5"/>
  <c r="H57" i="6" s="1"/>
  <c r="I53" i="5"/>
  <c r="H56" i="6" s="1"/>
  <c r="I197" i="5"/>
  <c r="H200" i="6" s="1"/>
  <c r="I115" i="5"/>
  <c r="H118" i="6" s="1"/>
  <c r="I174" i="5"/>
  <c r="H177" i="6" s="1"/>
  <c r="I209" i="5"/>
  <c r="H212" i="6" s="1"/>
  <c r="I28" i="5"/>
  <c r="H31" i="6" s="1"/>
  <c r="J191" i="5"/>
  <c r="J166" i="5"/>
  <c r="I37" i="5"/>
  <c r="I49" i="5"/>
  <c r="I36" i="5"/>
  <c r="H39" i="6" s="1"/>
  <c r="I43" i="5"/>
  <c r="H46" i="6" s="1"/>
  <c r="I131" i="5"/>
  <c r="H134" i="6" s="1"/>
  <c r="I50" i="5"/>
  <c r="H53" i="6" s="1"/>
  <c r="I146" i="5"/>
  <c r="H149" i="6" s="1"/>
  <c r="I137" i="5"/>
  <c r="H140" i="6" s="1"/>
  <c r="B165" i="6"/>
  <c r="J129" i="5"/>
  <c r="I132" i="6" s="1"/>
  <c r="J172" i="5"/>
  <c r="J30" i="5"/>
  <c r="I33" i="6" s="1"/>
  <c r="J109" i="5"/>
  <c r="I112" i="6" s="1"/>
  <c r="J207" i="5"/>
  <c r="J12" i="5"/>
  <c r="J127" i="5"/>
  <c r="I130" i="6" s="1"/>
  <c r="J59" i="5"/>
  <c r="I62" i="6" s="1"/>
  <c r="J47" i="5"/>
  <c r="J130" i="5"/>
  <c r="I133" i="6" s="1"/>
  <c r="J104" i="5"/>
  <c r="I107" i="6" s="1"/>
  <c r="I40" i="5"/>
  <c r="H43" i="6" s="1"/>
  <c r="B47" i="6"/>
  <c r="I155" i="5"/>
  <c r="I126" i="5"/>
  <c r="I202" i="5"/>
  <c r="H205" i="6" s="1"/>
  <c r="J120" i="5"/>
  <c r="I196" i="5"/>
  <c r="H199" i="6" s="1"/>
  <c r="J178" i="5"/>
  <c r="I181" i="6" s="1"/>
  <c r="I95" i="5"/>
  <c r="H98" i="6" s="1"/>
  <c r="J208" i="5"/>
  <c r="I211" i="6" s="1"/>
  <c r="I20" i="5"/>
  <c r="J38" i="5"/>
  <c r="I41" i="6" s="1"/>
  <c r="I169" i="5"/>
  <c r="H172" i="6" s="1"/>
  <c r="J74" i="5"/>
  <c r="I77" i="6" s="1"/>
  <c r="I147" i="5"/>
  <c r="J7" i="5"/>
  <c r="I199" i="5"/>
  <c r="J68" i="5"/>
  <c r="I87" i="5"/>
  <c r="H90" i="6" s="1"/>
  <c r="J149" i="5"/>
  <c r="I152" i="6" s="1"/>
  <c r="I73" i="5"/>
  <c r="H76" i="6" s="1"/>
  <c r="J176" i="5"/>
  <c r="I179" i="6" s="1"/>
  <c r="I56" i="5"/>
  <c r="H59" i="6" s="1"/>
  <c r="J54" i="5"/>
  <c r="I14" i="5"/>
  <c r="H17" i="6" s="1"/>
  <c r="J197" i="5"/>
  <c r="I200" i="6" s="1"/>
  <c r="I185" i="5"/>
  <c r="B7" i="6"/>
  <c r="B210" i="6"/>
  <c r="B162" i="6"/>
  <c r="B150" i="6"/>
  <c r="B126" i="6"/>
  <c r="B90" i="6"/>
  <c r="B78" i="6"/>
  <c r="B66" i="6"/>
  <c r="B54" i="6"/>
  <c r="B42" i="6"/>
  <c r="B18" i="6"/>
  <c r="B188" i="6"/>
  <c r="B151" i="6"/>
  <c r="B132" i="6"/>
  <c r="B185" i="6"/>
  <c r="B65" i="6"/>
  <c r="J116" i="5"/>
  <c r="J140" i="5"/>
  <c r="I143" i="6" s="1"/>
  <c r="J81" i="5"/>
  <c r="I84" i="6" s="1"/>
  <c r="J42" i="5"/>
  <c r="I45" i="6" s="1"/>
  <c r="J134" i="5"/>
  <c r="I137" i="6" s="1"/>
  <c r="J183" i="5"/>
  <c r="I186" i="6" s="1"/>
  <c r="J39" i="5"/>
  <c r="I42" i="6" s="1"/>
  <c r="J106" i="5"/>
  <c r="I109" i="6" s="1"/>
  <c r="J182" i="5"/>
  <c r="I185" i="6" s="1"/>
  <c r="J80" i="5"/>
  <c r="J98" i="5"/>
  <c r="J101" i="5"/>
  <c r="J64" i="5"/>
  <c r="I67" i="6" s="1"/>
  <c r="J190" i="5"/>
  <c r="I193" i="6" s="1"/>
  <c r="J97" i="5"/>
  <c r="I100" i="6" s="1"/>
  <c r="J61" i="5"/>
  <c r="I64" i="6" s="1"/>
  <c r="J93" i="5"/>
  <c r="I96" i="6" s="1"/>
  <c r="J3" i="5"/>
  <c r="I6" i="6" s="1"/>
  <c r="J150" i="5"/>
  <c r="I153" i="6" s="1"/>
  <c r="J189" i="5"/>
  <c r="I192" i="6" s="1"/>
  <c r="J157" i="5"/>
  <c r="J171" i="5"/>
  <c r="I174" i="6" s="1"/>
  <c r="J32" i="5"/>
  <c r="J18" i="5"/>
  <c r="I21" i="6" s="1"/>
  <c r="J105" i="5"/>
  <c r="I108" i="6" s="1"/>
  <c r="J177" i="5"/>
  <c r="I180" i="6" s="1"/>
  <c r="J118" i="5"/>
  <c r="I121" i="6" s="1"/>
  <c r="J180" i="5"/>
  <c r="I183" i="6" s="1"/>
  <c r="J84" i="5"/>
  <c r="I87" i="6" s="1"/>
  <c r="J125" i="5"/>
  <c r="J31" i="5"/>
  <c r="I34" i="6" s="1"/>
  <c r="J53" i="5"/>
  <c r="I56" i="6" s="1"/>
  <c r="J60" i="5"/>
  <c r="J203" i="5"/>
  <c r="I206" i="6" s="1"/>
  <c r="J115" i="5"/>
  <c r="I118" i="6" s="1"/>
  <c r="B159" i="6"/>
  <c r="B147" i="6"/>
  <c r="B135" i="6"/>
  <c r="B123" i="6"/>
  <c r="B111" i="6"/>
  <c r="B39" i="6"/>
  <c r="J174" i="5"/>
  <c r="J202" i="5"/>
  <c r="I205" i="6" s="1"/>
  <c r="J167" i="5"/>
  <c r="I170" i="6" s="1"/>
  <c r="J209" i="5"/>
  <c r="J196" i="5"/>
  <c r="I199" i="6" s="1"/>
  <c r="J113" i="5"/>
  <c r="I116" i="6" s="1"/>
  <c r="J28" i="5"/>
  <c r="I31" i="6" s="1"/>
  <c r="J95" i="5"/>
  <c r="I98" i="6" s="1"/>
  <c r="J145" i="5"/>
  <c r="I148" i="6" s="1"/>
  <c r="J85" i="5"/>
  <c r="I88" i="6" s="1"/>
  <c r="J20" i="5"/>
  <c r="I23" i="6" s="1"/>
  <c r="J10" i="5"/>
  <c r="I13" i="6" s="1"/>
  <c r="J96" i="5"/>
  <c r="I99" i="6" s="1"/>
  <c r="J169" i="5"/>
  <c r="I172" i="6" s="1"/>
  <c r="J165" i="5"/>
  <c r="I168" i="6" s="1"/>
  <c r="J37" i="5"/>
  <c r="J147" i="5"/>
  <c r="I150" i="6" s="1"/>
  <c r="J55" i="5"/>
  <c r="I58" i="6" s="1"/>
  <c r="J49" i="5"/>
  <c r="I52" i="6" s="1"/>
  <c r="J199" i="5"/>
  <c r="I202" i="6" s="1"/>
  <c r="J79" i="5"/>
  <c r="I82" i="6" s="1"/>
  <c r="J36" i="5"/>
  <c r="I39" i="6" s="1"/>
  <c r="J87" i="5"/>
  <c r="I90" i="6" s="1"/>
  <c r="J6" i="5"/>
  <c r="I9" i="6" s="1"/>
  <c r="J43" i="5"/>
  <c r="I46" i="6" s="1"/>
  <c r="J73" i="5"/>
  <c r="I76" i="6" s="1"/>
  <c r="J63" i="5"/>
  <c r="J131" i="5"/>
  <c r="I134" i="6" s="1"/>
  <c r="J56" i="5"/>
  <c r="I59" i="6" s="1"/>
  <c r="J124" i="5"/>
  <c r="I127" i="6" s="1"/>
  <c r="J50" i="5"/>
  <c r="I53" i="6" s="1"/>
  <c r="J14" i="5"/>
  <c r="I17" i="6" s="1"/>
  <c r="J40" i="5"/>
  <c r="I43" i="6" s="1"/>
  <c r="J146" i="5"/>
  <c r="I149" i="6" s="1"/>
  <c r="J185" i="5"/>
  <c r="I188" i="6" s="1"/>
  <c r="B82" i="6"/>
  <c r="B60" i="6"/>
  <c r="B199" i="6"/>
  <c r="B91" i="6"/>
  <c r="B67" i="6"/>
  <c r="B43" i="6"/>
  <c r="B160" i="6"/>
  <c r="B124" i="6"/>
  <c r="B40" i="6"/>
  <c r="B206" i="6"/>
  <c r="B194" i="6"/>
  <c r="B170" i="6"/>
  <c r="B158" i="6"/>
  <c r="B134" i="6"/>
  <c r="I168" i="5"/>
  <c r="H171" i="6" s="1"/>
  <c r="I193" i="5"/>
  <c r="H196" i="6" s="1"/>
  <c r="I112" i="5"/>
  <c r="I66" i="5"/>
  <c r="H69" i="6" s="1"/>
  <c r="I52" i="5"/>
  <c r="H55" i="6" s="1"/>
  <c r="I92" i="5"/>
  <c r="H95" i="6" s="1"/>
  <c r="I161" i="5"/>
  <c r="H164" i="6" s="1"/>
  <c r="I45" i="5"/>
  <c r="H48" i="6" s="1"/>
  <c r="I132" i="5"/>
  <c r="H135" i="6" s="1"/>
  <c r="I158" i="5"/>
  <c r="H161" i="6" s="1"/>
  <c r="I19" i="5"/>
  <c r="H22" i="6" s="1"/>
  <c r="I8" i="5"/>
  <c r="H11" i="6" s="1"/>
  <c r="I24" i="5"/>
  <c r="H27" i="6" s="1"/>
  <c r="I136" i="5"/>
  <c r="H139" i="6" s="1"/>
  <c r="I181" i="5"/>
  <c r="I67" i="5"/>
  <c r="I62" i="5"/>
  <c r="H65" i="6" s="1"/>
  <c r="I99" i="5"/>
  <c r="H102" i="6" s="1"/>
  <c r="I21" i="5"/>
  <c r="I153" i="5"/>
  <c r="H156" i="6" s="1"/>
  <c r="I83" i="5"/>
  <c r="H86" i="6" s="1"/>
  <c r="I26" i="5"/>
  <c r="H29" i="6" s="1"/>
  <c r="I139" i="5"/>
  <c r="H142" i="6" s="1"/>
  <c r="I9" i="5"/>
  <c r="H12" i="6" s="1"/>
  <c r="I5" i="5"/>
  <c r="H8" i="6" s="1"/>
  <c r="I29" i="5"/>
  <c r="H32" i="6" s="1"/>
  <c r="I143" i="5"/>
  <c r="I114" i="5"/>
  <c r="H117" i="6" s="1"/>
  <c r="I135" i="5"/>
  <c r="I100" i="5"/>
  <c r="H103" i="6" s="1"/>
  <c r="I86" i="5"/>
  <c r="H89" i="6" s="1"/>
  <c r="I23" i="5"/>
  <c r="H26" i="6" s="1"/>
  <c r="I71" i="5"/>
  <c r="H74" i="6" s="1"/>
  <c r="I103" i="5"/>
  <c r="I107" i="5"/>
  <c r="H110" i="6" s="1"/>
  <c r="B154" i="6"/>
  <c r="B46" i="6"/>
  <c r="B129" i="6"/>
  <c r="B20" i="6"/>
  <c r="B55" i="6"/>
  <c r="B19" i="6"/>
  <c r="B208" i="6"/>
  <c r="B148" i="6"/>
  <c r="B88" i="6"/>
  <c r="B25" i="6"/>
  <c r="B205" i="6"/>
  <c r="B23" i="6"/>
  <c r="B144" i="6"/>
  <c r="B130" i="6"/>
  <c r="B30" i="6"/>
  <c r="B73" i="6"/>
  <c r="J168" i="5"/>
  <c r="I171" i="6" s="1"/>
  <c r="J193" i="5"/>
  <c r="I196" i="6" s="1"/>
  <c r="J112" i="5"/>
  <c r="I115" i="6" s="1"/>
  <c r="J66" i="5"/>
  <c r="J52" i="5"/>
  <c r="I55" i="6" s="1"/>
  <c r="J92" i="5"/>
  <c r="I95" i="6" s="1"/>
  <c r="J161" i="5"/>
  <c r="I164" i="6" s="1"/>
  <c r="J45" i="5"/>
  <c r="I48" i="6" s="1"/>
  <c r="J132" i="5"/>
  <c r="I135" i="6" s="1"/>
  <c r="J158" i="5"/>
  <c r="I161" i="6" s="1"/>
  <c r="J19" i="5"/>
  <c r="I22" i="6" s="1"/>
  <c r="J8" i="5"/>
  <c r="I11" i="6" s="1"/>
  <c r="J24" i="5"/>
  <c r="I27" i="6" s="1"/>
  <c r="J136" i="5"/>
  <c r="I139" i="6" s="1"/>
  <c r="J181" i="5"/>
  <c r="I184" i="6" s="1"/>
  <c r="J67" i="5"/>
  <c r="I70" i="6" s="1"/>
  <c r="J62" i="5"/>
  <c r="I65" i="6" s="1"/>
  <c r="J99" i="5"/>
  <c r="I102" i="6" s="1"/>
  <c r="J21" i="5"/>
  <c r="I24" i="6" s="1"/>
  <c r="J153" i="5"/>
  <c r="I156" i="6" s="1"/>
  <c r="J83" i="5"/>
  <c r="I86" i="6" s="1"/>
  <c r="J26" i="5"/>
  <c r="I29" i="6" s="1"/>
  <c r="J139" i="5"/>
  <c r="I142" i="6" s="1"/>
  <c r="J9" i="5"/>
  <c r="J5" i="5"/>
  <c r="J29" i="5"/>
  <c r="I32" i="6" s="1"/>
  <c r="J143" i="5"/>
  <c r="I146" i="6" s="1"/>
  <c r="J114" i="5"/>
  <c r="I117" i="6" s="1"/>
  <c r="J135" i="5"/>
  <c r="I138" i="6" s="1"/>
  <c r="J100" i="5"/>
  <c r="J86" i="5"/>
  <c r="I89" i="6" s="1"/>
  <c r="J23" i="5"/>
  <c r="I26" i="6" s="1"/>
  <c r="J71" i="5"/>
  <c r="I74" i="6" s="1"/>
  <c r="J103" i="5"/>
  <c r="I106" i="6" s="1"/>
  <c r="B83" i="6"/>
  <c r="B209" i="6"/>
  <c r="B153" i="6"/>
  <c r="B137" i="6"/>
  <c r="B125" i="6"/>
  <c r="B113" i="6"/>
  <c r="B105" i="6"/>
  <c r="B101" i="6"/>
  <c r="B93" i="6"/>
  <c r="B89" i="6"/>
  <c r="B81" i="6"/>
  <c r="B77" i="6"/>
  <c r="B53" i="6"/>
  <c r="B45" i="6"/>
  <c r="B21" i="6"/>
  <c r="B17" i="6"/>
  <c r="B9" i="6"/>
  <c r="I8" i="6"/>
  <c r="I128" i="6"/>
  <c r="I103" i="6"/>
  <c r="I160" i="6"/>
  <c r="H137" i="6"/>
  <c r="I158" i="6"/>
  <c r="I201" i="6"/>
  <c r="H129" i="6"/>
  <c r="H173" i="6"/>
  <c r="H21" i="6"/>
  <c r="H179" i="6"/>
  <c r="I195" i="6"/>
  <c r="I73" i="6"/>
  <c r="H184" i="6"/>
  <c r="H150" i="6"/>
  <c r="H121" i="6"/>
  <c r="H80" i="6"/>
  <c r="I57" i="6"/>
  <c r="I10" i="6"/>
  <c r="I175" i="6"/>
  <c r="H168" i="6"/>
  <c r="H52" i="6"/>
  <c r="H115" i="6"/>
  <c r="I125" i="6"/>
  <c r="H131" i="6"/>
  <c r="H125" i="6"/>
  <c r="H202" i="6"/>
  <c r="I72" i="6"/>
  <c r="I40" i="6"/>
  <c r="I191" i="6"/>
  <c r="H72" i="6"/>
  <c r="H111" i="6"/>
  <c r="H40" i="6"/>
  <c r="H94" i="6"/>
  <c r="H187" i="6"/>
  <c r="I120" i="6"/>
  <c r="H35" i="6"/>
  <c r="H23" i="6"/>
  <c r="J154" i="5"/>
  <c r="I157" i="6" s="1"/>
  <c r="B96" i="6"/>
  <c r="B52" i="6"/>
  <c r="B10" i="6"/>
  <c r="B203" i="6"/>
  <c r="B207" i="6"/>
  <c r="B195" i="6"/>
  <c r="B183" i="6"/>
  <c r="B61" i="6"/>
  <c r="B171" i="6"/>
  <c r="B120" i="6"/>
  <c r="H78" i="6"/>
  <c r="H136" i="6"/>
  <c r="H81" i="6"/>
  <c r="B177" i="6"/>
  <c r="B173" i="6"/>
  <c r="B191" i="6"/>
  <c r="B117" i="6"/>
  <c r="B64" i="6"/>
  <c r="B69" i="6"/>
  <c r="B193" i="6"/>
  <c r="B41" i="6"/>
  <c r="B33" i="6"/>
  <c r="B29" i="6"/>
  <c r="B34" i="6"/>
  <c r="H7" i="6"/>
  <c r="H9" i="6"/>
  <c r="I66" i="6"/>
  <c r="B13" i="6"/>
  <c r="I154" i="5"/>
  <c r="I60" i="6"/>
  <c r="I194" i="6"/>
  <c r="H16" i="6"/>
  <c r="I69" i="6"/>
  <c r="I16" i="6"/>
  <c r="H146" i="6"/>
  <c r="H85" i="6"/>
  <c r="I37" i="6"/>
  <c r="I210" i="6"/>
  <c r="B213" i="6"/>
  <c r="B175" i="6"/>
  <c r="B149" i="6"/>
  <c r="B94" i="6"/>
  <c r="H138" i="6"/>
  <c r="H99" i="6"/>
  <c r="I50" i="6"/>
  <c r="I213" i="6"/>
  <c r="B197" i="6"/>
  <c r="B122" i="6"/>
  <c r="B187" i="6"/>
  <c r="B186" i="6"/>
  <c r="B31" i="6"/>
  <c r="I7" i="6"/>
  <c r="B115" i="6"/>
  <c r="B72" i="6"/>
  <c r="H83" i="6"/>
  <c r="H169" i="6"/>
  <c r="B182" i="6"/>
  <c r="B138" i="6"/>
  <c r="B95" i="6"/>
  <c r="B5" i="6"/>
  <c r="I19" i="6"/>
  <c r="I155" i="6"/>
  <c r="I136" i="6"/>
  <c r="I91" i="6"/>
  <c r="I35" i="6"/>
  <c r="H182" i="6"/>
  <c r="I169" i="6"/>
  <c r="I83" i="6"/>
  <c r="I163" i="6"/>
  <c r="I80" i="6"/>
  <c r="H62" i="6"/>
  <c r="I162" i="6"/>
  <c r="I25" i="6"/>
  <c r="I159" i="6"/>
  <c r="I71" i="6"/>
  <c r="I63" i="6"/>
  <c r="I15" i="6"/>
  <c r="I110" i="6"/>
  <c r="I78" i="6"/>
  <c r="I54" i="6"/>
  <c r="I173" i="6"/>
  <c r="I101" i="6"/>
  <c r="I61" i="6"/>
  <c r="I212" i="6"/>
  <c r="I124" i="6"/>
  <c r="I92" i="6"/>
  <c r="I28" i="6"/>
  <c r="I12" i="6"/>
  <c r="H133" i="6"/>
  <c r="H195" i="6"/>
  <c r="H158" i="6"/>
  <c r="H157" i="6"/>
  <c r="H49" i="6"/>
  <c r="H191" i="6"/>
  <c r="H106" i="6"/>
  <c r="H70" i="6"/>
  <c r="H33" i="6"/>
  <c r="H211" i="6"/>
  <c r="H175" i="6"/>
  <c r="H67" i="6"/>
  <c r="H198" i="6"/>
  <c r="H186" i="6"/>
  <c r="H126" i="6"/>
  <c r="H54" i="6"/>
  <c r="H30" i="6"/>
  <c r="H18" i="6"/>
  <c r="H24" i="6"/>
  <c r="H188" i="6"/>
  <c r="H185" i="6"/>
  <c r="H113" i="6"/>
  <c r="H41" i="6"/>
  <c r="M235" i="1"/>
  <c r="N25" i="1"/>
  <c r="M200" i="1"/>
  <c r="N161" i="1"/>
  <c r="M116" i="1"/>
  <c r="M71" i="1"/>
  <c r="M161" i="1"/>
  <c r="N256" i="1"/>
  <c r="M192" i="1"/>
  <c r="M253" i="1"/>
  <c r="N219" i="1"/>
  <c r="M6" i="1"/>
  <c r="N245" i="1"/>
  <c r="M213" i="1"/>
  <c r="N180" i="1"/>
  <c r="M137" i="1"/>
  <c r="N94" i="1"/>
  <c r="M49" i="1"/>
  <c r="M4" i="1"/>
  <c r="M18" i="1"/>
  <c r="M104" i="1"/>
  <c r="N174" i="1"/>
  <c r="M42" i="1"/>
  <c r="N244" i="1"/>
  <c r="M209" i="1"/>
  <c r="M173" i="1"/>
  <c r="M128" i="1"/>
  <c r="M83" i="1"/>
  <c r="N37" i="1"/>
  <c r="M25" i="1"/>
  <c r="M154" i="1"/>
  <c r="N61" i="1"/>
  <c r="N210" i="1"/>
  <c r="N84" i="1"/>
  <c r="M239" i="1"/>
  <c r="N202" i="1"/>
  <c r="N172" i="1"/>
  <c r="N127" i="1"/>
  <c r="N82" i="1"/>
  <c r="M37" i="1"/>
  <c r="M230" i="1"/>
  <c r="N63" i="1"/>
  <c r="M245" i="1"/>
  <c r="M130" i="1"/>
  <c r="M237" i="1"/>
  <c r="M201" i="1"/>
  <c r="M163" i="1"/>
  <c r="N120" i="1"/>
  <c r="N75" i="1"/>
  <c r="M30" i="1"/>
  <c r="N115" i="1"/>
  <c r="N192" i="1"/>
  <c r="M16" i="1"/>
  <c r="M194" i="1"/>
  <c r="N70" i="1"/>
  <c r="N227" i="1"/>
  <c r="N108" i="1"/>
  <c r="N253" i="1"/>
  <c r="M227" i="1"/>
  <c r="N149" i="1"/>
  <c r="N16" i="1"/>
  <c r="M221" i="1"/>
  <c r="N185" i="1"/>
  <c r="M149" i="1"/>
  <c r="N103" i="1"/>
  <c r="N58" i="1"/>
  <c r="N252" i="1"/>
  <c r="N181" i="1"/>
  <c r="M142" i="1"/>
  <c r="N96" i="1"/>
  <c r="N51" i="1"/>
  <c r="M247" i="1"/>
  <c r="M219" i="1"/>
  <c r="M181" i="1"/>
  <c r="M140" i="1"/>
  <c r="M95" i="1"/>
  <c r="N49" i="1"/>
  <c r="N4" i="1"/>
  <c r="N36" i="1"/>
  <c r="N234" i="1"/>
  <c r="N208" i="1"/>
  <c r="N169" i="1"/>
  <c r="N136" i="1"/>
  <c r="M103" i="1"/>
  <c r="M58" i="1"/>
  <c r="N24" i="1"/>
  <c r="M208" i="1"/>
  <c r="M199" i="1"/>
  <c r="M189" i="1"/>
  <c r="M180" i="1"/>
  <c r="M169" i="1"/>
  <c r="M160" i="1"/>
  <c r="M148" i="1"/>
  <c r="M136" i="1"/>
  <c r="M124" i="1"/>
  <c r="N114" i="1"/>
  <c r="N102" i="1"/>
  <c r="N90" i="1"/>
  <c r="N81" i="1"/>
  <c r="N69" i="1"/>
  <c r="N57" i="1"/>
  <c r="N45" i="1"/>
  <c r="M36" i="1"/>
  <c r="M24" i="1"/>
  <c r="M12" i="1"/>
  <c r="M3" i="1"/>
  <c r="N226" i="1"/>
  <c r="N199" i="1"/>
  <c r="N160" i="1"/>
  <c r="M115" i="1"/>
  <c r="M82" i="1"/>
  <c r="N48" i="1"/>
  <c r="N12" i="1"/>
  <c r="M234" i="1"/>
  <c r="N241" i="1"/>
  <c r="N233" i="1"/>
  <c r="N225" i="1"/>
  <c r="N215" i="1"/>
  <c r="N207" i="1"/>
  <c r="N198" i="1"/>
  <c r="M188" i="1"/>
  <c r="N179" i="1"/>
  <c r="N168" i="1"/>
  <c r="N156" i="1"/>
  <c r="N147" i="1"/>
  <c r="N135" i="1"/>
  <c r="N123" i="1"/>
  <c r="M114" i="1"/>
  <c r="M102" i="1"/>
  <c r="M90" i="1"/>
  <c r="M78" i="1"/>
  <c r="M69" i="1"/>
  <c r="M57" i="1"/>
  <c r="M45" i="1"/>
  <c r="N35" i="1"/>
  <c r="N23" i="1"/>
  <c r="N11" i="1"/>
  <c r="M226" i="1"/>
  <c r="M233" i="1"/>
  <c r="M207" i="1"/>
  <c r="N187" i="1"/>
  <c r="M179" i="1"/>
  <c r="M168" i="1"/>
  <c r="M156" i="1"/>
  <c r="M147" i="1"/>
  <c r="M135" i="1"/>
  <c r="M123" i="1"/>
  <c r="M111" i="1"/>
  <c r="N101" i="1"/>
  <c r="N89" i="1"/>
  <c r="N77" i="1"/>
  <c r="M68" i="1"/>
  <c r="M56" i="1"/>
  <c r="M44" i="1"/>
  <c r="M32" i="1"/>
  <c r="M23" i="1"/>
  <c r="M11" i="1"/>
  <c r="M218" i="1"/>
  <c r="N189" i="1"/>
  <c r="N148" i="1"/>
  <c r="M127" i="1"/>
  <c r="M91" i="1"/>
  <c r="M70" i="1"/>
  <c r="N3" i="1"/>
  <c r="M217" i="1"/>
  <c r="M251" i="1"/>
  <c r="M215" i="1"/>
  <c r="M250" i="1"/>
  <c r="N223" i="1"/>
  <c r="M196" i="1"/>
  <c r="M187" i="1"/>
  <c r="N167" i="1"/>
  <c r="N155" i="1"/>
  <c r="N143" i="1"/>
  <c r="M134" i="1"/>
  <c r="M122" i="1"/>
  <c r="M110" i="1"/>
  <c r="M101" i="1"/>
  <c r="M77" i="1"/>
  <c r="M65" i="1"/>
  <c r="N55" i="1"/>
  <c r="N43" i="1"/>
  <c r="N31" i="1"/>
  <c r="N22" i="1"/>
  <c r="N10" i="1"/>
  <c r="M252" i="1"/>
  <c r="N243" i="1"/>
  <c r="N251" i="1"/>
  <c r="M241" i="1"/>
  <c r="M225" i="1"/>
  <c r="N197" i="1"/>
  <c r="N240" i="1"/>
  <c r="N232" i="1"/>
  <c r="N214" i="1"/>
  <c r="M206" i="1"/>
  <c r="M176" i="1"/>
  <c r="M89" i="1"/>
  <c r="M248" i="1"/>
  <c r="M240" i="1"/>
  <c r="M222" i="1"/>
  <c r="M214" i="1"/>
  <c r="N205" i="1"/>
  <c r="N186" i="1"/>
  <c r="N175" i="1"/>
  <c r="M167" i="1"/>
  <c r="M143" i="1"/>
  <c r="N133" i="1"/>
  <c r="N121" i="1"/>
  <c r="N97" i="1"/>
  <c r="N88" i="1"/>
  <c r="N76" i="1"/>
  <c r="N64" i="1"/>
  <c r="M55" i="1"/>
  <c r="M43" i="1"/>
  <c r="M31" i="1"/>
  <c r="M19" i="1"/>
  <c r="N8" i="1"/>
  <c r="N14" i="1"/>
  <c r="N20" i="1"/>
  <c r="N26" i="1"/>
  <c r="N32" i="1"/>
  <c r="N38" i="1"/>
  <c r="N44" i="1"/>
  <c r="N50" i="1"/>
  <c r="N56" i="1"/>
  <c r="N62" i="1"/>
  <c r="N68" i="1"/>
  <c r="N74" i="1"/>
  <c r="N80" i="1"/>
  <c r="N86" i="1"/>
  <c r="N92" i="1"/>
  <c r="N98" i="1"/>
  <c r="N104" i="1"/>
  <c r="N110" i="1"/>
  <c r="N116" i="1"/>
  <c r="N122" i="1"/>
  <c r="N128" i="1"/>
  <c r="N134" i="1"/>
  <c r="N140" i="1"/>
  <c r="N146" i="1"/>
  <c r="N152" i="1"/>
  <c r="N158" i="1"/>
  <c r="N164" i="1"/>
  <c r="N170" i="1"/>
  <c r="N176" i="1"/>
  <c r="N182" i="1"/>
  <c r="N188" i="1"/>
  <c r="N194" i="1"/>
  <c r="N200" i="1"/>
  <c r="N206" i="1"/>
  <c r="N212" i="1"/>
  <c r="N218" i="1"/>
  <c r="N224" i="1"/>
  <c r="N230" i="1"/>
  <c r="N236" i="1"/>
  <c r="N242" i="1"/>
  <c r="N248" i="1"/>
  <c r="N254" i="1"/>
  <c r="N6" i="1"/>
  <c r="M13" i="1"/>
  <c r="N19" i="1"/>
  <c r="M26" i="1"/>
  <c r="M33" i="1"/>
  <c r="N39" i="1"/>
  <c r="M46" i="1"/>
  <c r="N52" i="1"/>
  <c r="M59" i="1"/>
  <c r="N65" i="1"/>
  <c r="M72" i="1"/>
  <c r="N78" i="1"/>
  <c r="M85" i="1"/>
  <c r="N91" i="1"/>
  <c r="M98" i="1"/>
  <c r="M105" i="1"/>
  <c r="N111" i="1"/>
  <c r="M118" i="1"/>
  <c r="N124" i="1"/>
  <c r="M131" i="1"/>
  <c r="N137" i="1"/>
  <c r="M144" i="1"/>
  <c r="N150" i="1"/>
  <c r="M157" i="1"/>
  <c r="N163" i="1"/>
  <c r="M170" i="1"/>
  <c r="M177" i="1"/>
  <c r="N183" i="1"/>
  <c r="M190" i="1"/>
  <c r="N196" i="1"/>
  <c r="M203" i="1"/>
  <c r="N209" i="1"/>
  <c r="M216" i="1"/>
  <c r="N222" i="1"/>
  <c r="M229" i="1"/>
  <c r="N235" i="1"/>
  <c r="M242" i="1"/>
  <c r="M249" i="1"/>
  <c r="N255" i="1"/>
  <c r="N66" i="1"/>
  <c r="N99" i="1"/>
  <c r="N112" i="1"/>
  <c r="M132" i="1"/>
  <c r="N151" i="1"/>
  <c r="M165" i="1"/>
  <c r="N184" i="1"/>
  <c r="M7" i="1"/>
  <c r="N13" i="1"/>
  <c r="M20" i="1"/>
  <c r="M27" i="1"/>
  <c r="N33" i="1"/>
  <c r="M40" i="1"/>
  <c r="N46" i="1"/>
  <c r="M53" i="1"/>
  <c r="N59" i="1"/>
  <c r="M66" i="1"/>
  <c r="N72" i="1"/>
  <c r="M79" i="1"/>
  <c r="N85" i="1"/>
  <c r="M92" i="1"/>
  <c r="M99" i="1"/>
  <c r="N105" i="1"/>
  <c r="M112" i="1"/>
  <c r="N118" i="1"/>
  <c r="M125" i="1"/>
  <c r="N131" i="1"/>
  <c r="M138" i="1"/>
  <c r="N144" i="1"/>
  <c r="M151" i="1"/>
  <c r="N157" i="1"/>
  <c r="M164" i="1"/>
  <c r="M171" i="1"/>
  <c r="N177" i="1"/>
  <c r="M184" i="1"/>
  <c r="N190" i="1"/>
  <c r="M197" i="1"/>
  <c r="N203" i="1"/>
  <c r="M210" i="1"/>
  <c r="N216" i="1"/>
  <c r="M223" i="1"/>
  <c r="N229" i="1"/>
  <c r="M236" i="1"/>
  <c r="M243" i="1"/>
  <c r="N249" i="1"/>
  <c r="M256" i="1"/>
  <c r="N79" i="1"/>
  <c r="N125" i="1"/>
  <c r="N138" i="1"/>
  <c r="M158" i="1"/>
  <c r="N171" i="1"/>
  <c r="M191" i="1"/>
  <c r="M204" i="1"/>
  <c r="N7" i="1"/>
  <c r="M14" i="1"/>
  <c r="M21" i="1"/>
  <c r="N27" i="1"/>
  <c r="M34" i="1"/>
  <c r="N40" i="1"/>
  <c r="M47" i="1"/>
  <c r="N53" i="1"/>
  <c r="M60" i="1"/>
  <c r="M73" i="1"/>
  <c r="M86" i="1"/>
  <c r="M93" i="1"/>
  <c r="M106" i="1"/>
  <c r="M119" i="1"/>
  <c r="M145" i="1"/>
  <c r="M178" i="1"/>
  <c r="M8" i="1"/>
  <c r="M15" i="1"/>
  <c r="N21" i="1"/>
  <c r="M28" i="1"/>
  <c r="N34" i="1"/>
  <c r="M41" i="1"/>
  <c r="N47" i="1"/>
  <c r="M54" i="1"/>
  <c r="N60" i="1"/>
  <c r="M67" i="1"/>
  <c r="N73" i="1"/>
  <c r="M80" i="1"/>
  <c r="M87" i="1"/>
  <c r="N93" i="1"/>
  <c r="M100" i="1"/>
  <c r="N106" i="1"/>
  <c r="M113" i="1"/>
  <c r="N119" i="1"/>
  <c r="M126" i="1"/>
  <c r="N132" i="1"/>
  <c r="M139" i="1"/>
  <c r="N145" i="1"/>
  <c r="M152" i="1"/>
  <c r="M159" i="1"/>
  <c r="N165" i="1"/>
  <c r="M172" i="1"/>
  <c r="N178" i="1"/>
  <c r="M185" i="1"/>
  <c r="N191" i="1"/>
  <c r="M198" i="1"/>
  <c r="N204" i="1"/>
  <c r="M211" i="1"/>
  <c r="N217" i="1"/>
  <c r="M224" i="1"/>
  <c r="M231" i="1"/>
  <c r="N237" i="1"/>
  <c r="M244" i="1"/>
  <c r="N250" i="1"/>
  <c r="N2" i="1"/>
  <c r="M153" i="1"/>
  <c r="M9" i="1"/>
  <c r="N15" i="1"/>
  <c r="M22" i="1"/>
  <c r="N28" i="1"/>
  <c r="M35" i="1"/>
  <c r="N41" i="1"/>
  <c r="M48" i="1"/>
  <c r="N54" i="1"/>
  <c r="M61" i="1"/>
  <c r="N67" i="1"/>
  <c r="M74" i="1"/>
  <c r="M81" i="1"/>
  <c r="N87" i="1"/>
  <c r="M94" i="1"/>
  <c r="N100" i="1"/>
  <c r="M107" i="1"/>
  <c r="N113" i="1"/>
  <c r="M120" i="1"/>
  <c r="N126" i="1"/>
  <c r="M133" i="1"/>
  <c r="N139" i="1"/>
  <c r="M146" i="1"/>
  <c r="N159" i="1"/>
  <c r="M166" i="1"/>
  <c r="M232" i="1"/>
  <c r="N195" i="1"/>
  <c r="M155" i="1"/>
  <c r="N109" i="1"/>
  <c r="M2" i="1"/>
  <c r="N247" i="1"/>
  <c r="N239" i="1"/>
  <c r="N231" i="1"/>
  <c r="N221" i="1"/>
  <c r="N213" i="1"/>
  <c r="M205" i="1"/>
  <c r="M195" i="1"/>
  <c r="M186" i="1"/>
  <c r="M175" i="1"/>
  <c r="N166" i="1"/>
  <c r="N154" i="1"/>
  <c r="N142" i="1"/>
  <c r="N130" i="1"/>
  <c r="M121" i="1"/>
  <c r="M109" i="1"/>
  <c r="M97" i="1"/>
  <c r="M88" i="1"/>
  <c r="M76" i="1"/>
  <c r="M64" i="1"/>
  <c r="M52" i="1"/>
  <c r="N42" i="1"/>
  <c r="N30" i="1"/>
  <c r="N18" i="1"/>
  <c r="N9" i="1"/>
  <c r="N246" i="1"/>
  <c r="N228" i="1"/>
  <c r="M212" i="1"/>
  <c r="N193" i="1"/>
  <c r="M174" i="1"/>
  <c r="N153" i="1"/>
  <c r="N129" i="1"/>
  <c r="M108" i="1"/>
  <c r="M96" i="1"/>
  <c r="M75" i="1"/>
  <c r="M63" i="1"/>
  <c r="M39" i="1"/>
  <c r="N29" i="1"/>
  <c r="N17" i="1"/>
  <c r="N5" i="1"/>
  <c r="M255" i="1"/>
  <c r="N238" i="1"/>
  <c r="N220" i="1"/>
  <c r="M202" i="1"/>
  <c r="M183" i="1"/>
  <c r="N162" i="1"/>
  <c r="N141" i="1"/>
  <c r="N117" i="1"/>
  <c r="M84" i="1"/>
  <c r="M51" i="1"/>
  <c r="M254" i="1"/>
  <c r="M246" i="1"/>
  <c r="M238" i="1"/>
  <c r="M228" i="1"/>
  <c r="M220" i="1"/>
  <c r="N211" i="1"/>
  <c r="N201" i="1"/>
  <c r="M193" i="1"/>
  <c r="M182" i="1"/>
  <c r="N173" i="1"/>
  <c r="M162" i="1"/>
  <c r="M150" i="1"/>
  <c r="M141" i="1"/>
  <c r="M129" i="1"/>
  <c r="M117" i="1"/>
  <c r="N107" i="1"/>
  <c r="N95" i="1"/>
  <c r="N83" i="1"/>
  <c r="N71" i="1"/>
  <c r="M62" i="1"/>
  <c r="M50" i="1"/>
  <c r="M38" i="1"/>
  <c r="M29" i="1"/>
  <c r="M17" i="1"/>
  <c r="M5" i="1"/>
  <c r="I177" i="6" l="1"/>
  <c r="I119" i="6"/>
  <c r="I154" i="6"/>
  <c r="I5" i="6"/>
  <c r="I104" i="6"/>
  <c r="I123" i="6"/>
  <c r="H5" i="6"/>
  <c r="I211" i="5"/>
  <c r="J211" i="5"/>
  <c r="I196" i="2"/>
  <c r="I40" i="2"/>
  <c r="I203" i="2"/>
  <c r="H109" i="2"/>
  <c r="H126" i="2"/>
  <c r="I187" i="2"/>
  <c r="H164" i="2"/>
  <c r="I130" i="2"/>
  <c r="H198" i="2"/>
  <c r="I206" i="2"/>
  <c r="I85" i="2"/>
  <c r="H206" i="2"/>
  <c r="I34" i="2"/>
  <c r="H215" i="2"/>
  <c r="H238" i="2"/>
  <c r="I108" i="2"/>
  <c r="I94" i="2"/>
  <c r="H14" i="2"/>
  <c r="H69" i="2"/>
  <c r="H131" i="2"/>
  <c r="I222" i="2"/>
  <c r="H257" i="2"/>
  <c r="I189" i="2"/>
  <c r="H234" i="2"/>
  <c r="H155" i="2"/>
  <c r="H134" i="2"/>
  <c r="H93" i="2"/>
  <c r="H249" i="2"/>
  <c r="I64" i="2"/>
  <c r="H49" i="2"/>
  <c r="I249" i="2"/>
  <c r="H231" i="2"/>
  <c r="I30" i="2"/>
  <c r="I146" i="2"/>
  <c r="I158" i="2"/>
  <c r="I66" i="2"/>
  <c r="I171" i="2"/>
  <c r="I99" i="2"/>
  <c r="I27" i="2"/>
  <c r="H177" i="2"/>
  <c r="I23" i="2"/>
  <c r="I168" i="2"/>
  <c r="I149" i="2"/>
  <c r="H112" i="2"/>
  <c r="I24" i="2"/>
  <c r="I157" i="2"/>
  <c r="I49" i="2"/>
  <c r="I70" i="2"/>
  <c r="H200" i="2"/>
  <c r="H96" i="2"/>
  <c r="H150" i="2"/>
  <c r="I193" i="2"/>
  <c r="H38" i="2"/>
  <c r="H84" i="2"/>
  <c r="H138" i="2"/>
  <c r="I162" i="2"/>
  <c r="I163" i="2"/>
  <c r="I43" i="2"/>
  <c r="H95" i="2"/>
  <c r="H199" i="2"/>
  <c r="H74" i="2"/>
  <c r="H211" i="2"/>
  <c r="H54" i="2"/>
  <c r="I197" i="2"/>
  <c r="I147" i="2"/>
  <c r="H20" i="2"/>
  <c r="H66" i="2"/>
  <c r="H24" i="2"/>
  <c r="H70" i="2"/>
  <c r="I200" i="2"/>
  <c r="I115" i="2"/>
  <c r="H248" i="2"/>
  <c r="I150" i="2"/>
  <c r="H7" i="2"/>
  <c r="H184" i="2"/>
  <c r="H187" i="2"/>
  <c r="I192" i="2"/>
  <c r="H159" i="2"/>
  <c r="I100" i="2"/>
  <c r="H191" i="2"/>
  <c r="H34" i="2"/>
  <c r="I141" i="2"/>
  <c r="H78" i="2"/>
  <c r="H33" i="2"/>
  <c r="H79" i="2"/>
  <c r="I227" i="2"/>
  <c r="I52" i="2"/>
  <c r="I220" i="2"/>
  <c r="I84" i="2"/>
  <c r="H203" i="2"/>
  <c r="H65" i="2"/>
  <c r="H82" i="2"/>
  <c r="H186" i="2"/>
  <c r="H29" i="2"/>
  <c r="I139" i="2"/>
  <c r="I67" i="2"/>
  <c r="H106" i="2"/>
  <c r="I207" i="2"/>
  <c r="H44" i="2"/>
  <c r="H252" i="2"/>
  <c r="H180" i="2"/>
  <c r="I216" i="2"/>
  <c r="H137" i="2"/>
  <c r="I97" i="2"/>
  <c r="I175" i="2"/>
  <c r="I221" i="2"/>
  <c r="H77" i="2"/>
  <c r="H75" i="2"/>
  <c r="I3" i="2"/>
  <c r="I22" i="2"/>
  <c r="I126" i="2"/>
  <c r="I191" i="2"/>
  <c r="I256" i="2"/>
  <c r="H99" i="2"/>
  <c r="I129" i="2"/>
  <c r="H56" i="2"/>
  <c r="H111" i="2"/>
  <c r="H57" i="2"/>
  <c r="H103" i="2"/>
  <c r="H13" i="2"/>
  <c r="I209" i="2"/>
  <c r="I109" i="2"/>
  <c r="H105" i="2"/>
  <c r="I239" i="2"/>
  <c r="H89" i="2"/>
  <c r="I68" i="2"/>
  <c r="H16" i="2"/>
  <c r="I80" i="2"/>
  <c r="H28" i="2"/>
  <c r="H171" i="2"/>
  <c r="I195" i="2"/>
  <c r="I65" i="2"/>
  <c r="I252" i="2"/>
  <c r="H123" i="2"/>
  <c r="H208" i="2"/>
  <c r="H25" i="2"/>
  <c r="H161" i="2"/>
  <c r="I182" i="2"/>
  <c r="I257" i="2"/>
  <c r="H239" i="2"/>
  <c r="I194" i="2"/>
  <c r="I140" i="2"/>
  <c r="I166" i="2"/>
  <c r="H9" i="2"/>
  <c r="H100" i="2"/>
  <c r="H243" i="2"/>
  <c r="H86" i="2"/>
  <c r="I117" i="2"/>
  <c r="I244" i="2"/>
  <c r="H71" i="2"/>
  <c r="I242" i="2"/>
  <c r="H170" i="2"/>
  <c r="I253" i="2"/>
  <c r="H162" i="2"/>
  <c r="H247" i="2"/>
  <c r="H110" i="2"/>
  <c r="I55" i="2"/>
  <c r="H81" i="2"/>
  <c r="I28" i="2"/>
  <c r="H172" i="2"/>
  <c r="I236" i="2"/>
  <c r="I255" i="2"/>
  <c r="I111" i="2"/>
  <c r="I89" i="2"/>
  <c r="H92" i="2"/>
  <c r="H227" i="2"/>
  <c r="I46" i="2"/>
  <c r="I5" i="2"/>
  <c r="H195" i="2"/>
  <c r="H50" i="2"/>
  <c r="H6" i="2"/>
  <c r="H255" i="2"/>
  <c r="I229" i="2"/>
  <c r="I127" i="2"/>
  <c r="H153" i="2"/>
  <c r="H146" i="2"/>
  <c r="I86" i="2"/>
  <c r="I151" i="2"/>
  <c r="I33" i="2"/>
  <c r="H90" i="2"/>
  <c r="I156" i="2"/>
  <c r="I12" i="2"/>
  <c r="I13" i="2"/>
  <c r="I50" i="2"/>
  <c r="I95" i="2"/>
  <c r="H151" i="2"/>
  <c r="I247" i="2"/>
  <c r="I248" i="2"/>
  <c r="H121" i="2"/>
  <c r="I42" i="2"/>
  <c r="H225" i="2"/>
  <c r="H68" i="2"/>
  <c r="H120" i="2"/>
  <c r="H15" i="2"/>
  <c r="H237" i="2"/>
  <c r="H80" i="2"/>
  <c r="I185" i="2"/>
  <c r="I223" i="2"/>
  <c r="H145" i="2"/>
  <c r="I243" i="2"/>
  <c r="I122" i="2"/>
  <c r="H30" i="2"/>
  <c r="H163" i="2"/>
  <c r="H85" i="2"/>
  <c r="H40" i="2"/>
  <c r="I10" i="2"/>
  <c r="I143" i="2"/>
  <c r="H3" i="2"/>
  <c r="I114" i="2"/>
  <c r="H36" i="2"/>
  <c r="I218" i="2"/>
  <c r="H140" i="2"/>
  <c r="I61" i="2"/>
  <c r="H107" i="2"/>
  <c r="I8" i="2"/>
  <c r="I230" i="2"/>
  <c r="H152" i="2"/>
  <c r="I73" i="2"/>
  <c r="H166" i="2"/>
  <c r="H217" i="2"/>
  <c r="I138" i="2"/>
  <c r="H60" i="2"/>
  <c r="I237" i="2"/>
  <c r="I165" i="2"/>
  <c r="I93" i="2"/>
  <c r="I21" i="2"/>
  <c r="I134" i="2"/>
  <c r="H207" i="2"/>
  <c r="I32" i="2"/>
  <c r="H188" i="2"/>
  <c r="I190" i="2"/>
  <c r="H124" i="2"/>
  <c r="I36" i="2"/>
  <c r="I169" i="2"/>
  <c r="H83" i="2"/>
  <c r="I82" i="2"/>
  <c r="H209" i="2"/>
  <c r="H141" i="2"/>
  <c r="I186" i="2"/>
  <c r="I116" i="2"/>
  <c r="I83" i="2"/>
  <c r="H129" i="2"/>
  <c r="I181" i="2"/>
  <c r="H201" i="2"/>
  <c r="H63" i="2"/>
  <c r="I120" i="2"/>
  <c r="I219" i="2"/>
  <c r="I121" i="2"/>
  <c r="I72" i="2"/>
  <c r="H61" i="2"/>
  <c r="H32" i="2"/>
  <c r="H240" i="2"/>
  <c r="H167" i="2"/>
  <c r="H41" i="2"/>
  <c r="H102" i="2"/>
  <c r="H202" i="2"/>
  <c r="I96" i="2"/>
  <c r="H101" i="2"/>
  <c r="I20" i="2"/>
  <c r="I188" i="2"/>
  <c r="I211" i="2"/>
  <c r="H147" i="2"/>
  <c r="I106" i="2"/>
  <c r="I51" i="2"/>
  <c r="H115" i="2"/>
  <c r="I62" i="2"/>
  <c r="H62" i="2"/>
  <c r="I178" i="2"/>
  <c r="I45" i="2"/>
  <c r="I124" i="2"/>
  <c r="H246" i="2"/>
  <c r="H160" i="2"/>
  <c r="H158" i="2"/>
  <c r="I144" i="2"/>
  <c r="H26" i="2"/>
  <c r="H122" i="2"/>
  <c r="H244" i="2"/>
  <c r="I177" i="2"/>
  <c r="H128" i="2"/>
  <c r="I38" i="2"/>
  <c r="I155" i="2"/>
  <c r="H224" i="2"/>
  <c r="I231" i="2"/>
  <c r="I215" i="2"/>
  <c r="H197" i="2"/>
  <c r="H219" i="2"/>
  <c r="H136" i="2"/>
  <c r="H46" i="2"/>
  <c r="I180" i="2"/>
  <c r="H116" i="2"/>
  <c r="I91" i="2"/>
  <c r="I25" i="2"/>
  <c r="H182" i="2"/>
  <c r="H31" i="2"/>
  <c r="I128" i="2"/>
  <c r="H174" i="2"/>
  <c r="H214" i="2"/>
  <c r="I26" i="2"/>
  <c r="H194" i="2"/>
  <c r="H97" i="2"/>
  <c r="H176" i="2"/>
  <c r="I16" i="2"/>
  <c r="H42" i="2"/>
  <c r="I172" i="2"/>
  <c r="I132" i="2"/>
  <c r="I113" i="2"/>
  <c r="H119" i="2"/>
  <c r="I75" i="2"/>
  <c r="I176" i="2"/>
  <c r="I241" i="2"/>
  <c r="H251" i="2"/>
  <c r="H157" i="2"/>
  <c r="I199" i="2"/>
  <c r="H104" i="2"/>
  <c r="I245" i="2"/>
  <c r="I202" i="2"/>
  <c r="H53" i="2"/>
  <c r="H233" i="2"/>
  <c r="I88" i="2"/>
  <c r="H10" i="2"/>
  <c r="H114" i="2"/>
  <c r="I35" i="2"/>
  <c r="I204" i="2"/>
  <c r="I47" i="2"/>
  <c r="I112" i="2"/>
  <c r="I213" i="2"/>
  <c r="I69" i="2"/>
  <c r="I198" i="2"/>
  <c r="H216" i="2"/>
  <c r="H169" i="2"/>
  <c r="I208" i="2"/>
  <c r="H125" i="2"/>
  <c r="I137" i="2"/>
  <c r="H228" i="2"/>
  <c r="H43" i="2"/>
  <c r="I212" i="2"/>
  <c r="H196" i="2"/>
  <c r="H154" i="2"/>
  <c r="I107" i="2"/>
  <c r="I54" i="2"/>
  <c r="I119" i="2"/>
  <c r="I184" i="2"/>
  <c r="H27" i="2"/>
  <c r="I135" i="2"/>
  <c r="I63" i="2"/>
  <c r="H226" i="2"/>
  <c r="H45" i="2"/>
  <c r="H91" i="2"/>
  <c r="H4" i="2"/>
  <c r="I170" i="2"/>
  <c r="I254" i="2"/>
  <c r="H254" i="2"/>
  <c r="H221" i="2"/>
  <c r="I154" i="2"/>
  <c r="I160" i="2"/>
  <c r="I179" i="2"/>
  <c r="H48" i="2"/>
  <c r="H113" i="2"/>
  <c r="H178" i="2"/>
  <c r="I201" i="2"/>
  <c r="I57" i="2"/>
  <c r="H242" i="2"/>
  <c r="H218" i="2"/>
  <c r="I226" i="2"/>
  <c r="H149" i="2"/>
  <c r="H143" i="2"/>
  <c r="H193" i="2"/>
  <c r="H229" i="2"/>
  <c r="H175" i="2"/>
  <c r="I214" i="2"/>
  <c r="I251" i="2"/>
  <c r="H173" i="2"/>
  <c r="I41" i="2"/>
  <c r="H185" i="2"/>
  <c r="H250" i="2"/>
  <c r="I92" i="2"/>
  <c r="I123" i="2"/>
  <c r="H223" i="2"/>
  <c r="I4" i="2"/>
  <c r="I234" i="2"/>
  <c r="I235" i="2"/>
  <c r="I228" i="2"/>
  <c r="H19" i="2"/>
  <c r="H118" i="2"/>
  <c r="H256" i="2"/>
  <c r="H98" i="2"/>
  <c r="H245" i="2"/>
  <c r="H88" i="2"/>
  <c r="H35" i="2"/>
  <c r="H21" i="2"/>
  <c r="I164" i="2"/>
  <c r="I7" i="2"/>
  <c r="I77" i="2"/>
  <c r="H241" i="2"/>
  <c r="H135" i="2"/>
  <c r="I78" i="2"/>
  <c r="H37" i="2"/>
  <c r="I37" i="2"/>
  <c r="I71" i="2"/>
  <c r="H5" i="2"/>
  <c r="H130" i="2"/>
  <c r="I6" i="2"/>
  <c r="H213" i="2"/>
  <c r="I232" i="2"/>
  <c r="I238" i="2"/>
  <c r="H179" i="2"/>
  <c r="I250" i="2"/>
  <c r="I14" i="2"/>
  <c r="I79" i="2"/>
  <c r="I183" i="2"/>
  <c r="I39" i="2"/>
  <c r="H253" i="2"/>
  <c r="I90" i="2"/>
  <c r="I136" i="2"/>
  <c r="H235" i="2"/>
  <c r="H181" i="2"/>
  <c r="I59" i="2"/>
  <c r="H72" i="2"/>
  <c r="H142" i="2"/>
  <c r="I18" i="2"/>
  <c r="I240" i="2"/>
  <c r="H232" i="2"/>
  <c r="I74" i="2"/>
  <c r="H22" i="2"/>
  <c r="H165" i="2"/>
  <c r="H8" i="2"/>
  <c r="H230" i="2"/>
  <c r="H73" i="2"/>
  <c r="I105" i="2"/>
  <c r="I98" i="2"/>
  <c r="I11" i="2"/>
  <c r="I102" i="2"/>
  <c r="I148" i="2"/>
  <c r="I58" i="2"/>
  <c r="H190" i="2"/>
  <c r="I104" i="2"/>
  <c r="H17" i="2"/>
  <c r="H117" i="2"/>
  <c r="H18" i="2"/>
  <c r="H52" i="2"/>
  <c r="I131" i="2"/>
  <c r="H39" i="2"/>
  <c r="I174" i="2"/>
  <c r="I118" i="2"/>
  <c r="H64" i="2"/>
  <c r="I19" i="2"/>
  <c r="I110" i="2"/>
  <c r="H108" i="2"/>
  <c r="I29" i="2"/>
  <c r="H212" i="2"/>
  <c r="I133" i="2"/>
  <c r="H55" i="2"/>
  <c r="H94" i="2"/>
  <c r="H205" i="2"/>
  <c r="I145" i="2"/>
  <c r="H67" i="2"/>
  <c r="I152" i="2"/>
  <c r="I210" i="2"/>
  <c r="H132" i="2"/>
  <c r="I53" i="2"/>
  <c r="I159" i="2"/>
  <c r="I87" i="2"/>
  <c r="I15" i="2"/>
  <c r="H144" i="2"/>
  <c r="I44" i="2"/>
  <c r="H222" i="2"/>
  <c r="H51" i="2"/>
  <c r="H183" i="2"/>
  <c r="I142" i="2"/>
  <c r="H76" i="2"/>
  <c r="I31" i="2"/>
  <c r="I167" i="2"/>
  <c r="H156" i="2"/>
  <c r="I101" i="2"/>
  <c r="H23" i="2"/>
  <c r="I205" i="2"/>
  <c r="H127" i="2"/>
  <c r="I48" i="2"/>
  <c r="H87" i="2"/>
  <c r="H192" i="2"/>
  <c r="I217" i="2"/>
  <c r="H139" i="2"/>
  <c r="I60" i="2"/>
  <c r="H133" i="2"/>
  <c r="H204" i="2"/>
  <c r="I125" i="2"/>
  <c r="H47" i="2"/>
  <c r="I225" i="2"/>
  <c r="I153" i="2"/>
  <c r="I81" i="2"/>
  <c r="I9" i="2"/>
  <c r="H168" i="2"/>
  <c r="I233" i="2"/>
  <c r="I56" i="2"/>
  <c r="I224" i="2"/>
  <c r="H12" i="2"/>
  <c r="H148" i="2"/>
  <c r="H58" i="2"/>
  <c r="H189" i="2"/>
  <c r="I161" i="2"/>
  <c r="I103" i="2"/>
  <c r="H59" i="2"/>
  <c r="H220" i="2"/>
  <c r="I17" i="2"/>
  <c r="I76" i="2"/>
  <c r="I173" i="2"/>
  <c r="H210" i="2"/>
  <c r="I246" i="2"/>
  <c r="H236" i="2"/>
</calcChain>
</file>

<file path=xl/sharedStrings.xml><?xml version="1.0" encoding="utf-8"?>
<sst xmlns="http://schemas.openxmlformats.org/spreadsheetml/2006/main" count="2173" uniqueCount="205">
  <si>
    <t>dirtex</t>
  </si>
  <si>
    <t>Dir-Min</t>
  </si>
  <si>
    <t>Dir-Max</t>
  </si>
  <si>
    <t>Hs-Min</t>
  </si>
  <si>
    <t>Hs-Max</t>
  </si>
  <si>
    <t>Tp-Min</t>
  </si>
  <si>
    <t>Tp-Max</t>
  </si>
  <si>
    <t>Hs-mean</t>
  </si>
  <si>
    <t>Tp-mean</t>
  </si>
  <si>
    <t>Dp-mean</t>
  </si>
  <si>
    <t>count</t>
  </si>
  <si>
    <t>ocurrencia</t>
  </si>
  <si>
    <t>Dias-Anio</t>
  </si>
  <si>
    <t>SE</t>
  </si>
  <si>
    <t>SSE</t>
  </si>
  <si>
    <t>S</t>
  </si>
  <si>
    <t>SSW</t>
  </si>
  <si>
    <t>SW</t>
  </si>
  <si>
    <t>WSW</t>
  </si>
  <si>
    <t>W</t>
  </si>
  <si>
    <t>WNW</t>
  </si>
  <si>
    <t>ID</t>
  </si>
  <si>
    <t>Cantidad de datos Totales:</t>
  </si>
  <si>
    <t>m</t>
  </si>
  <si>
    <t>x</t>
  </si>
  <si>
    <t>=</t>
  </si>
  <si>
    <t>365*count/387507</t>
  </si>
  <si>
    <t>regla de 3</t>
  </si>
  <si>
    <t>CLASE</t>
  </si>
  <si>
    <t>PREDOMINANTE</t>
  </si>
  <si>
    <t>OCURRENCIA</t>
  </si>
  <si>
    <t>Do</t>
  </si>
  <si>
    <t>Ho</t>
  </si>
  <si>
    <t>To</t>
  </si>
  <si>
    <t>Dpo</t>
  </si>
  <si>
    <t>Hso</t>
  </si>
  <si>
    <t>Tpo</t>
  </si>
  <si>
    <t>Porcentaje</t>
  </si>
  <si>
    <t>Dias/año</t>
  </si>
  <si>
    <t>DIR</t>
  </si>
  <si>
    <t>Dirección</t>
  </si>
  <si>
    <t>Abreviatura</t>
  </si>
  <si>
    <t>Grados (centro)</t>
  </si>
  <si>
    <t>Rango de grados</t>
  </si>
  <si>
    <t>Norte</t>
  </si>
  <si>
    <t>N</t>
  </si>
  <si>
    <t>0° (o 360°)</t>
  </si>
  <si>
    <t>Norte-Noreste</t>
  </si>
  <si>
    <t>NNE</t>
  </si>
  <si>
    <t>Noreste</t>
  </si>
  <si>
    <t>NE</t>
  </si>
  <si>
    <t>45°</t>
  </si>
  <si>
    <t>Este-Noreste</t>
  </si>
  <si>
    <t>ENE</t>
  </si>
  <si>
    <t>Este</t>
  </si>
  <si>
    <t>E</t>
  </si>
  <si>
    <t>90°</t>
  </si>
  <si>
    <t>Este-Sureste</t>
  </si>
  <si>
    <t>ESE</t>
  </si>
  <si>
    <t>Sureste</t>
  </si>
  <si>
    <t>135°</t>
  </si>
  <si>
    <t>Sur-Sureste</t>
  </si>
  <si>
    <t>Sur</t>
  </si>
  <si>
    <t>180°</t>
  </si>
  <si>
    <t>Sur-Suroeste</t>
  </si>
  <si>
    <t>Suroeste</t>
  </si>
  <si>
    <t>225°</t>
  </si>
  <si>
    <t>Oeste-Suroeste</t>
  </si>
  <si>
    <t>Oeste</t>
  </si>
  <si>
    <t>270°</t>
  </si>
  <si>
    <t>Oeste-Noroeste</t>
  </si>
  <si>
    <t>Noroeste</t>
  </si>
  <si>
    <t>315°</t>
  </si>
  <si>
    <t>Norte-Noroeste</t>
  </si>
  <si>
    <t>NW</t>
  </si>
  <si>
    <t>NNW</t>
  </si>
  <si>
    <t>Dp[°]</t>
  </si>
  <si>
    <t>Hs[m]</t>
  </si>
  <si>
    <t>0.5-1.0</t>
  </si>
  <si>
    <t>1.0-1.5</t>
  </si>
  <si>
    <t>1.5-2.0</t>
  </si>
  <si>
    <t>2.0-2.5</t>
  </si>
  <si>
    <t>2.5-3.0</t>
  </si>
  <si>
    <t>3.0-3.5</t>
  </si>
  <si>
    <t>3.5-4.0</t>
  </si>
  <si>
    <t>4.0-4.5</t>
  </si>
  <si>
    <t>&gt;4.5</t>
  </si>
  <si>
    <t>SUM</t>
  </si>
  <si>
    <t>0.00%</t>
  </si>
  <si>
    <t xml:space="preserve">NE </t>
  </si>
  <si>
    <t xml:space="preserve">ENE </t>
  </si>
  <si>
    <t xml:space="preserve">ESE </t>
  </si>
  <si>
    <t>0.06%</t>
  </si>
  <si>
    <t xml:space="preserve">S </t>
  </si>
  <si>
    <t>1.28%</t>
  </si>
  <si>
    <t>5.06%</t>
  </si>
  <si>
    <t xml:space="preserve">SSW </t>
  </si>
  <si>
    <t>45.80%</t>
  </si>
  <si>
    <t>41.57%</t>
  </si>
  <si>
    <t xml:space="preserve">WSW </t>
  </si>
  <si>
    <t>2.51%</t>
  </si>
  <si>
    <t xml:space="preserve">W </t>
  </si>
  <si>
    <t>2.92%</t>
  </si>
  <si>
    <t xml:space="preserve">NW </t>
  </si>
  <si>
    <t>0.17%</t>
  </si>
  <si>
    <t>0.81%</t>
  </si>
  <si>
    <t>0.09%</t>
  </si>
  <si>
    <t>5.28%</t>
  </si>
  <si>
    <t>38.88%</t>
  </si>
  <si>
    <t>35.52%</t>
  </si>
  <si>
    <t>14.67%</t>
  </si>
  <si>
    <t>4.21%</t>
  </si>
  <si>
    <t>1.14%</t>
  </si>
  <si>
    <t>0.03%</t>
  </si>
  <si>
    <t>100.00%</t>
  </si>
  <si>
    <t>Hs_bin</t>
  </si>
  <si>
    <t>Tp_bin</t>
  </si>
  <si>
    <t>conteo</t>
  </si>
  <si>
    <t>Hs_mean</t>
  </si>
  <si>
    <t>Tp_mean</t>
  </si>
  <si>
    <t>Dp_mean</t>
  </si>
  <si>
    <t>porcentaje</t>
  </si>
  <si>
    <t>Total</t>
  </si>
  <si>
    <t>Dias-Año</t>
  </si>
  <si>
    <t>Centro</t>
  </si>
  <si>
    <t>Dir</t>
  </si>
  <si>
    <t>Dir-Degree</t>
  </si>
  <si>
    <t>348,75° – 11,25°</t>
  </si>
  <si>
    <t>22,5°</t>
  </si>
  <si>
    <t>11,25° – 33,75°</t>
  </si>
  <si>
    <t>33,75° – 56,25°</t>
  </si>
  <si>
    <t>67,5°</t>
  </si>
  <si>
    <t>56,25° – 78,75°</t>
  </si>
  <si>
    <t>78,75° – 101,25°</t>
  </si>
  <si>
    <t>112,5°</t>
  </si>
  <si>
    <t>101,25° – 123,75°</t>
  </si>
  <si>
    <t>123,75° – 146,25°</t>
  </si>
  <si>
    <t>157,5°</t>
  </si>
  <si>
    <t>146,25° – 168,75°</t>
  </si>
  <si>
    <t>168,75° – 191,25°</t>
  </si>
  <si>
    <t>202,5°</t>
  </si>
  <si>
    <t>191,25° – 213,75°</t>
  </si>
  <si>
    <t>213,75° – 236,25°</t>
  </si>
  <si>
    <t>247,5°</t>
  </si>
  <si>
    <t>236,25° – 258,75°</t>
  </si>
  <si>
    <t>258,75° – 281,25°</t>
  </si>
  <si>
    <t>292,5°</t>
  </si>
  <si>
    <t>281,25° – 303,75°</t>
  </si>
  <si>
    <t>303,75° – 326,25°</t>
  </si>
  <si>
    <t>337,5°</t>
  </si>
  <si>
    <t>326,25° – 348,75°</t>
  </si>
  <si>
    <t>Escenario 4</t>
  </si>
  <si>
    <t>Escenario 3</t>
  </si>
  <si>
    <t>TABLA DE OCURRENCIA ANUAL DE LA SERIE HISTÓRICA</t>
  </si>
  <si>
    <t>0.5 - 1.0</t>
  </si>
  <si>
    <t>1.0 - 1.5</t>
  </si>
  <si>
    <t>1.5 - 2.0</t>
  </si>
  <si>
    <t>2.0 - 2.5</t>
  </si>
  <si>
    <t>2.5 - 3.0</t>
  </si>
  <si>
    <t>3.0 - 3.5</t>
  </si>
  <si>
    <t>3.5 - 4.0</t>
  </si>
  <si>
    <t>4.0 - 4.5</t>
  </si>
  <si>
    <t>4.5 - 5.0</t>
  </si>
  <si>
    <t>2.0 - 5.0</t>
  </si>
  <si>
    <t>5.0 - 8.0</t>
  </si>
  <si>
    <t>8.0 - 11.0</t>
  </si>
  <si>
    <t>11.0 - 14.0</t>
  </si>
  <si>
    <t>14.0 - 17.0</t>
  </si>
  <si>
    <t>17.0 - 20.0</t>
  </si>
  <si>
    <t>20.0 - 23.0</t>
  </si>
  <si>
    <t>23.0 - 26.0</t>
  </si>
  <si>
    <t>26.0 - 29.0</t>
  </si>
  <si>
    <t>Dp</t>
  </si>
  <si>
    <t>[191.25–213.75]</t>
  </si>
  <si>
    <t>[2.0–2.5]</t>
  </si>
  <si>
    <t>[14–16]</t>
  </si>
  <si>
    <t>ESCENARIO 04</t>
  </si>
  <si>
    <t>[213.75–236.25]</t>
  </si>
  <si>
    <t>[1.5–2.0]</t>
  </si>
  <si>
    <t>[12–14]</t>
  </si>
  <si>
    <t>[2.5–3.0]</t>
  </si>
  <si>
    <t>[16–18]</t>
  </si>
  <si>
    <t>[10–12]</t>
  </si>
  <si>
    <t>[3.0–3.5]</t>
  </si>
  <si>
    <t>[1.0–1.5]</t>
  </si>
  <si>
    <t>[236.25–258.75]</t>
  </si>
  <si>
    <t>[281.25–303.75]</t>
  </si>
  <si>
    <t>[18–20]</t>
  </si>
  <si>
    <t>[168.75–191.25]</t>
  </si>
  <si>
    <t>[8–10]</t>
  </si>
  <si>
    <t>[258.75–281.25]</t>
  </si>
  <si>
    <t>[3.5–4.0]</t>
  </si>
  <si>
    <t>[6–8]</t>
  </si>
  <si>
    <t>[303.75–326.25]</t>
  </si>
  <si>
    <t>[20–22]</t>
  </si>
  <si>
    <t>[4.0–4.5]</t>
  </si>
  <si>
    <t>[0.5–1.0]</t>
  </si>
  <si>
    <t>[4.5–5.0]</t>
  </si>
  <si>
    <t>[146.25–168.75]</t>
  </si>
  <si>
    <t>[22–24]</t>
  </si>
  <si>
    <t>[4–6]</t>
  </si>
  <si>
    <t>ESCENARIO 03</t>
  </si>
  <si>
    <t>[2–4]</t>
  </si>
  <si>
    <t>[24–26]</t>
  </si>
  <si>
    <t>[26–28]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</si>
</sst>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Arial Narrow"/>
      <family val="2"/>
    </font>
    <font>
      <sz val="12"/>
      <color rgb="FFFFFFFF"/>
      <name val="Arial Narrow"/>
      <family val="2"/>
    </font>
    <font>
      <sz val="12"/>
      <color rgb="FF034158"/>
      <name val="Arial Narrow"/>
      <family val="2"/>
    </font>
    <font>
      <b/>
      <sz val="12"/>
      <color rgb="FF034158"/>
      <name val="Arial Narrow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4"/>
      <color rgb="FFFFFFFF"/>
      <name val="Aptos Narrow"/>
      <family val="2"/>
    </font>
    <font>
      <b/>
      <sz val="12"/>
      <color rgb="FFFFFFFF"/>
      <name val="Aptos Narrow"/>
      <family val="2"/>
    </font>
    <font>
      <sz val="12"/>
      <color rgb="FFFFFFFF"/>
      <name val="Aptos Narrow"/>
      <family val="2"/>
    </font>
    <font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34158"/>
        <bgColor indexed="64"/>
      </patternFill>
    </fill>
    <fill>
      <patternFill patternType="solid">
        <fgColor rgb="FFE7E5E6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F2F8F7"/>
        <bgColor indexed="64"/>
      </patternFill>
    </fill>
    <fill>
      <patternFill patternType="solid">
        <fgColor rgb="FFF9FBFC"/>
        <bgColor indexed="64"/>
      </patternFill>
    </fill>
    <fill>
      <patternFill patternType="solid">
        <fgColor rgb="FFF0F7F5"/>
        <bgColor indexed="64"/>
      </patternFill>
    </fill>
    <fill>
      <patternFill patternType="solid">
        <fgColor rgb="FF87CD9A"/>
        <bgColor indexed="64"/>
      </patternFill>
    </fill>
    <fill>
      <patternFill patternType="solid">
        <fgColor rgb="FF6DC284"/>
        <bgColor indexed="64"/>
      </patternFill>
    </fill>
    <fill>
      <patternFill patternType="solid">
        <fgColor rgb="FFB3DFC0"/>
        <bgColor indexed="64"/>
      </patternFill>
    </fill>
    <fill>
      <patternFill patternType="solid">
        <fgColor rgb="FFE5F3EC"/>
        <bgColor indexed="64"/>
      </patternFill>
    </fill>
    <fill>
      <patternFill patternType="solid">
        <fgColor rgb="FFF6FAFA"/>
        <bgColor indexed="64"/>
      </patternFill>
    </fill>
    <fill>
      <patternFill patternType="solid">
        <fgColor rgb="FFFBFCFF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81CA95"/>
        <bgColor indexed="64"/>
      </patternFill>
    </fill>
    <fill>
      <patternFill patternType="solid">
        <fgColor rgb="FFD8EEE0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EDF6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9" fillId="34" borderId="19" xfId="0" applyFont="1" applyFill="1" applyBorder="1" applyAlignment="1">
      <alignment horizontal="center" vertical="center"/>
    </xf>
    <xf numFmtId="164" fontId="19" fillId="34" borderId="19" xfId="0" applyNumberFormat="1" applyFont="1" applyFill="1" applyBorder="1" applyAlignment="1">
      <alignment horizontal="center" vertical="center"/>
    </xf>
    <xf numFmtId="2" fontId="19" fillId="34" borderId="19" xfId="0" applyNumberFormat="1" applyFont="1" applyFill="1" applyBorder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2" fontId="20" fillId="3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34" borderId="23" xfId="0" applyFont="1" applyFill="1" applyBorder="1" applyAlignment="1">
      <alignment horizontal="center" vertical="top" wrapText="1"/>
    </xf>
    <xf numFmtId="0" fontId="23" fillId="34" borderId="23" xfId="0" applyFont="1" applyFill="1" applyBorder="1" applyAlignment="1">
      <alignment horizontal="center" wrapText="1"/>
    </xf>
    <xf numFmtId="0" fontId="22" fillId="34" borderId="21" xfId="0" applyFont="1" applyFill="1" applyBorder="1" applyAlignment="1">
      <alignment horizontal="center" vertical="top" wrapText="1"/>
    </xf>
    <xf numFmtId="0" fontId="25" fillId="37" borderId="23" xfId="0" applyFont="1" applyFill="1" applyBorder="1" applyAlignment="1">
      <alignment horizontal="center" wrapText="1"/>
    </xf>
    <xf numFmtId="165" fontId="0" fillId="0" borderId="0" xfId="0" applyNumberFormat="1"/>
    <xf numFmtId="10" fontId="24" fillId="36" borderId="23" xfId="0" applyNumberFormat="1" applyFont="1" applyFill="1" applyBorder="1" applyAlignment="1">
      <alignment horizontal="center" wrapText="1"/>
    </xf>
    <xf numFmtId="10" fontId="24" fillId="38" borderId="23" xfId="0" applyNumberFormat="1" applyFont="1" applyFill="1" applyBorder="1" applyAlignment="1">
      <alignment horizontal="center" wrapText="1"/>
    </xf>
    <xf numFmtId="10" fontId="24" fillId="39" borderId="23" xfId="0" applyNumberFormat="1" applyFont="1" applyFill="1" applyBorder="1" applyAlignment="1">
      <alignment horizontal="center" wrapText="1"/>
    </xf>
    <xf numFmtId="10" fontId="24" fillId="40" borderId="23" xfId="0" applyNumberFormat="1" applyFont="1" applyFill="1" applyBorder="1" applyAlignment="1">
      <alignment horizontal="center" wrapText="1"/>
    </xf>
    <xf numFmtId="10" fontId="24" fillId="41" borderId="23" xfId="0" applyNumberFormat="1" applyFont="1" applyFill="1" applyBorder="1" applyAlignment="1">
      <alignment horizontal="center" wrapText="1"/>
    </xf>
    <xf numFmtId="10" fontId="24" fillId="42" borderId="23" xfId="0" applyNumberFormat="1" applyFont="1" applyFill="1" applyBorder="1" applyAlignment="1">
      <alignment horizontal="center" wrapText="1"/>
    </xf>
    <xf numFmtId="10" fontId="24" fillId="43" borderId="23" xfId="0" applyNumberFormat="1" applyFont="1" applyFill="1" applyBorder="1" applyAlignment="1">
      <alignment horizontal="center" wrapText="1"/>
    </xf>
    <xf numFmtId="10" fontId="24" fillId="44" borderId="23" xfId="0" applyNumberFormat="1" applyFont="1" applyFill="1" applyBorder="1" applyAlignment="1">
      <alignment horizontal="center" wrapText="1"/>
    </xf>
    <xf numFmtId="10" fontId="24" fillId="45" borderId="23" xfId="0" applyNumberFormat="1" applyFont="1" applyFill="1" applyBorder="1" applyAlignment="1">
      <alignment horizontal="center" wrapText="1"/>
    </xf>
    <xf numFmtId="10" fontId="24" fillId="46" borderId="23" xfId="0" applyNumberFormat="1" applyFont="1" applyFill="1" applyBorder="1" applyAlignment="1">
      <alignment horizontal="center" wrapText="1"/>
    </xf>
    <xf numFmtId="10" fontId="24" fillId="47" borderId="23" xfId="0" applyNumberFormat="1" applyFont="1" applyFill="1" applyBorder="1" applyAlignment="1">
      <alignment horizontal="center" wrapText="1"/>
    </xf>
    <xf numFmtId="10" fontId="24" fillId="48" borderId="23" xfId="0" applyNumberFormat="1" applyFont="1" applyFill="1" applyBorder="1" applyAlignment="1">
      <alignment horizontal="center" wrapText="1"/>
    </xf>
    <xf numFmtId="10" fontId="24" fillId="49" borderId="23" xfId="0" applyNumberFormat="1" applyFont="1" applyFill="1" applyBorder="1" applyAlignment="1">
      <alignment horizontal="center" wrapText="1"/>
    </xf>
    <xf numFmtId="10" fontId="24" fillId="50" borderId="23" xfId="0" applyNumberFormat="1" applyFont="1" applyFill="1" applyBorder="1" applyAlignment="1">
      <alignment horizontal="center" wrapText="1"/>
    </xf>
    <xf numFmtId="10" fontId="24" fillId="51" borderId="23" xfId="0" applyNumberFormat="1" applyFont="1" applyFill="1" applyBorder="1" applyAlignment="1">
      <alignment horizontal="center" wrapText="1"/>
    </xf>
    <xf numFmtId="10" fontId="24" fillId="52" borderId="23" xfId="0" applyNumberFormat="1" applyFont="1" applyFill="1" applyBorder="1" applyAlignment="1">
      <alignment horizontal="center" wrapText="1"/>
    </xf>
    <xf numFmtId="10" fontId="24" fillId="53" borderId="23" xfId="0" applyNumberFormat="1" applyFont="1" applyFill="1" applyBorder="1" applyAlignment="1">
      <alignment horizontal="center" wrapText="1"/>
    </xf>
    <xf numFmtId="10" fontId="24" fillId="54" borderId="23" xfId="0" applyNumberFormat="1" applyFont="1" applyFill="1" applyBorder="1" applyAlignment="1">
      <alignment horizontal="center" wrapText="1"/>
    </xf>
    <xf numFmtId="10" fontId="24" fillId="55" borderId="23" xfId="0" applyNumberFormat="1" applyFont="1" applyFill="1" applyBorder="1" applyAlignment="1">
      <alignment horizontal="center" wrapText="1"/>
    </xf>
    <xf numFmtId="10" fontId="24" fillId="56" borderId="23" xfId="0" applyNumberFormat="1" applyFont="1" applyFill="1" applyBorder="1" applyAlignment="1">
      <alignment horizontal="center" wrapText="1"/>
    </xf>
    <xf numFmtId="10" fontId="24" fillId="57" borderId="23" xfId="0" applyNumberFormat="1" applyFont="1" applyFill="1" applyBorder="1" applyAlignment="1">
      <alignment horizontal="center" wrapText="1"/>
    </xf>
    <xf numFmtId="9" fontId="0" fillId="0" borderId="0" xfId="1" applyFont="1" applyAlignment="1">
      <alignment horizontal="center" vertical="center"/>
    </xf>
    <xf numFmtId="0" fontId="0" fillId="58" borderId="0" xfId="0" applyFill="1" applyAlignment="1">
      <alignment horizontal="center"/>
    </xf>
    <xf numFmtId="0" fontId="0" fillId="0" borderId="0" xfId="0" quotePrefix="1"/>
    <xf numFmtId="166" fontId="0" fillId="0" borderId="0" xfId="1" applyNumberFormat="1" applyFont="1"/>
    <xf numFmtId="166" fontId="0" fillId="0" borderId="0" xfId="0" applyNumberFormat="1"/>
    <xf numFmtId="2" fontId="0" fillId="0" borderId="0" xfId="0" applyNumberFormat="1" applyAlignment="1">
      <alignment horizontal="center" vertical="center" wrapText="1"/>
    </xf>
    <xf numFmtId="10" fontId="21" fillId="59" borderId="0" xfId="0" applyNumberFormat="1" applyFont="1" applyFill="1" applyAlignment="1">
      <alignment horizontal="center" vertical="center"/>
    </xf>
    <xf numFmtId="2" fontId="21" fillId="59" borderId="0" xfId="0" applyNumberFormat="1" applyFont="1" applyFill="1" applyAlignment="1">
      <alignment horizontal="center" vertical="center"/>
    </xf>
    <xf numFmtId="0" fontId="16" fillId="59" borderId="0" xfId="0" applyFont="1" applyFill="1"/>
    <xf numFmtId="0" fontId="21" fillId="59" borderId="0" xfId="0" applyFont="1" applyFill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  <xf numFmtId="164" fontId="18" fillId="34" borderId="18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2" fillId="34" borderId="20" xfId="0" applyFont="1" applyFill="1" applyBorder="1" applyAlignment="1">
      <alignment horizontal="center" vertical="center" wrapText="1"/>
    </xf>
    <xf numFmtId="0" fontId="22" fillId="34" borderId="21" xfId="0" applyFont="1" applyFill="1" applyBorder="1" applyAlignment="1">
      <alignment horizontal="center" vertical="center" wrapText="1"/>
    </xf>
    <xf numFmtId="0" fontId="22" fillId="34" borderId="24" xfId="0" applyFont="1" applyFill="1" applyBorder="1" applyAlignment="1">
      <alignment horizontal="center" wrapText="1"/>
    </xf>
    <xf numFmtId="0" fontId="22" fillId="34" borderId="22" xfId="0" applyFont="1" applyFill="1" applyBorder="1" applyAlignment="1">
      <alignment horizontal="center" wrapText="1"/>
    </xf>
    <xf numFmtId="0" fontId="28" fillId="0" borderId="0" xfId="0" applyFont="1"/>
    <xf numFmtId="0" fontId="30" fillId="34" borderId="28" xfId="0" applyFont="1" applyFill="1" applyBorder="1" applyAlignment="1">
      <alignment horizontal="center" vertical="center"/>
    </xf>
    <xf numFmtId="0" fontId="30" fillId="34" borderId="29" xfId="0" applyFont="1" applyFill="1" applyBorder="1" applyAlignment="1">
      <alignment horizontal="center" vertical="center"/>
    </xf>
    <xf numFmtId="0" fontId="31" fillId="59" borderId="0" xfId="0" applyFont="1" applyFill="1" applyAlignment="1">
      <alignment horizontal="center" vertical="center"/>
    </xf>
    <xf numFmtId="0" fontId="32" fillId="59" borderId="0" xfId="0" applyFont="1" applyFill="1" applyAlignment="1">
      <alignment horizontal="center" vertical="center"/>
    </xf>
    <xf numFmtId="10" fontId="30" fillId="59" borderId="0" xfId="0" applyNumberFormat="1" applyFont="1" applyFill="1" applyAlignment="1">
      <alignment horizontal="center" vertical="center"/>
    </xf>
    <xf numFmtId="0" fontId="30" fillId="59" borderId="0" xfId="0" applyFont="1" applyFill="1" applyAlignment="1">
      <alignment horizontal="center" vertical="center"/>
    </xf>
    <xf numFmtId="0" fontId="34" fillId="35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9" fillId="34" borderId="25" xfId="0" applyFont="1" applyFill="1" applyBorder="1" applyAlignment="1">
      <alignment horizontal="center" vertical="center"/>
    </xf>
    <xf numFmtId="0" fontId="29" fillId="34" borderId="26" xfId="0" applyFont="1" applyFill="1" applyBorder="1" applyAlignment="1">
      <alignment horizontal="center" vertical="center"/>
    </xf>
    <xf numFmtId="0" fontId="29" fillId="34" borderId="27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">
    <dxf>
      <numFmt numFmtId="166" formatCode="0.000%"/>
    </dxf>
    <dxf>
      <numFmt numFmtId="166" formatCode="0.000%"/>
    </dxf>
    <dxf>
      <numFmt numFmtId="166" formatCode="0.0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212725</xdr:colOff>
      <xdr:row>7</xdr:row>
      <xdr:rowOff>76200</xdr:rowOff>
    </xdr:from>
    <xdr:to>
      <xdr:col>16</xdr:col>
      <xdr:colOff>513080</xdr:colOff>
      <xdr:row>34</xdr:row>
      <xdr:rowOff>46458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8F6301-1565-47EE-A88A-2785313193A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1900" y="1552575"/>
          <a:ext cx="5047615" cy="537210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655955</xdr:colOff>
      <xdr:row>3</xdr:row>
      <xdr:rowOff>34925</xdr:rowOff>
    </xdr:from>
    <xdr:to>
      <xdr:col>21</xdr:col>
      <xdr:colOff>510540</xdr:colOff>
      <xdr:row>38</xdr:row>
      <xdr:rowOff>118255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64B53E-7274-41D2-A9EA-F178F0489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8580" y="711200"/>
          <a:ext cx="3811270" cy="710030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304800</xdr:colOff>
      <xdr:row>268</xdr:row>
      <xdr:rowOff>40926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C9AA914-82AC-4097-B768-A8DE1B2EB3DB}"/>
            </a:ext>
          </a:extLst>
        </xdr:cNvPr>
        <xdr:cNvSpPr>
          <a:spLocks noChangeAspect="1" noChangeArrowheads="1"/>
        </xdr:cNvSpPr>
      </xdr:nvSpPr>
      <xdr:spPr bwMode="auto">
        <a:xfrm>
          <a:off x="13975080" y="4191000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304800</xdr:colOff>
      <xdr:row>273</xdr:row>
      <xdr:rowOff>114669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3488C4E7-4AC8-4183-B9EA-E80CAE4B27CC}"/>
            </a:ext>
          </a:extLst>
        </xdr:cNvPr>
        <xdr:cNvSpPr>
          <a:spLocks noChangeAspect="1" noChangeArrowheads="1"/>
        </xdr:cNvSpPr>
      </xdr:nvSpPr>
      <xdr:spPr bwMode="auto">
        <a:xfrm>
          <a:off x="13182600" y="3200400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352426</xdr:colOff>
      <xdr:row>15</xdr:row>
      <xdr:rowOff>95250</xdr:rowOff>
    </xdr:from>
    <xdr:to>
      <xdr:col>17</xdr:col>
      <xdr:colOff>402157</xdr:colOff>
      <xdr:row>18</xdr:row>
      <xdr:rowOff>192643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54D2CC7-09A7-4F4B-85EC-5BB419DCC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4626" y="2762250"/>
          <a:ext cx="42111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112395</xdr:colOff>
      <xdr:row>0</xdr:row>
      <xdr:rowOff>76200</xdr:rowOff>
    </xdr:from>
    <xdr:to>
      <xdr:col>14</xdr:col>
      <xdr:colOff>758190</xdr:colOff>
      <xdr:row>20</xdr:row>
      <xdr:rowOff>91440</xdr:rowOff>
    </xdr:to>
    <xdr:pic>
      <xdr:nvPicPr>
        <xdr:cNvPr id="2" name="Imagen 1" descr="El Viento – Kayak Autovaciable">
          <a:extLst>
            <a:ext uri="{FF2B5EF4-FFF2-40B4-BE49-F238E27FC236}">
              <a16:creationId xmlns:a16="http://schemas.microsoft.com/office/drawing/2014/main" id="{49339BEA-DE83-6B1D-86F6-8F264A12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5270" y="76200"/>
          <a:ext cx="3808095" cy="3779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0</xdr:row>
      <xdr:rowOff>0</xdr:rowOff>
    </xdr:from>
    <xdr:to>
      <xdr:col>16</xdr:col>
      <xdr:colOff>503555</xdr:colOff>
      <xdr:row>29</xdr:row>
      <xdr:rowOff>172085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A2AE36-24B2-452E-BF6A-66439B191DD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0"/>
          <a:ext cx="4913630" cy="601091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628650</xdr:colOff>
      <xdr:row>1</xdr:row>
      <xdr:rowOff>161925</xdr:rowOff>
    </xdr:from>
    <xdr:to>
      <xdr:col>23</xdr:col>
      <xdr:colOff>247031</xdr:colOff>
      <xdr:row>11</xdr:row>
      <xdr:rowOff>180723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A54806-F241-4341-AFD4-576C442F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87275" y="400050"/>
          <a:ext cx="4952381" cy="201904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304800</xdr:colOff>
      <xdr:row>22</xdr:row>
      <xdr:rowOff>104775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50DD9B65-C443-41CC-A648-81EDCAF1A06B}"/>
            </a:ext>
          </a:extLst>
        </xdr:cNvPr>
        <xdr:cNvSpPr>
          <a:spLocks noChangeAspect="1" noChangeArrowheads="1"/>
        </xdr:cNvSpPr>
      </xdr:nvSpPr>
      <xdr:spPr bwMode="auto">
        <a:xfrm>
          <a:off x="13458825" y="42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304800</xdr:colOff>
      <xdr:row>17</xdr:row>
      <xdr:rowOff>104775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F7ADE736-E817-45DB-8604-A031FD6EE802}"/>
            </a:ext>
          </a:extLst>
        </xdr:cNvPr>
        <xdr:cNvSpPr>
          <a:spLocks noChangeAspect="1" noChangeArrowheads="1"/>
        </xdr:cNvSpPr>
      </xdr:nvSpPr>
      <xdr:spPr bwMode="auto">
        <a:xfrm>
          <a:off x="126968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352425</xdr:colOff>
      <xdr:row>13</xdr:row>
      <xdr:rowOff>95250</xdr:rowOff>
    </xdr:from>
    <xdr:to>
      <xdr:col>24</xdr:col>
      <xdr:colOff>257175</xdr:colOff>
      <xdr:row>47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03093B8-C3E1-4B9C-97FA-4EA62E1B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0" y="2733675"/>
          <a:ext cx="523875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1FD92-41C1-466B-B0EA-128A95C7DA05}" name="ocurrencias" displayName="ocurrencias" ref="A1:K211" totalsRowCount="1">
  <autoFilter ref="A1:K210" xr:uid="{C531FD92-41C1-466B-B0EA-128A95C7DA05}"/>
  <sortState xmlns:xlrd2="http://schemas.microsoft.com/office/spreadsheetml/2017/richdata2" ref="A2:K210">
    <sortCondition descending="1" ref="I1:I210"/>
  </sortState>
  <tableColumns count="11">
    <tableColumn id="1" xr3:uid="{4058928E-943E-4AAB-B5A4-F4E1089CEEFE}" name="Hs_bin" totalsRowLabel="Total"/>
    <tableColumn id="2" xr3:uid="{A3F99880-34A2-4308-B9BF-1DB6F35002DE}" name="Tp_bin"/>
    <tableColumn id="3" xr3:uid="{88F07330-FC1F-4D5A-BFD6-0DDB42F02ADC}" name="Dir"/>
    <tableColumn id="13" xr3:uid="{12E74ACE-046D-4DAA-9AD0-DC385D08E3AB}" name="Dir-Degree" dataDxfId="3">
      <calculatedColumnFormula>VLOOKUP(ocurrencias[[#This Row],[Dir]],'Rosa 16'!$B$1:$G$17,4,FALSE)</calculatedColumnFormula>
    </tableColumn>
    <tableColumn id="4" xr3:uid="{2F2B496C-654B-4D32-ABDF-C9866A0E1B5C}" name="conteo" totalsRowFunction="sum"/>
    <tableColumn id="5" xr3:uid="{1B969465-1327-4E84-AB89-4BD3F910B37E}" name="Hs_mean"/>
    <tableColumn id="6" xr3:uid="{9F270705-A415-49F2-B6CB-5EF1236E6E02}" name="Tp_mean"/>
    <tableColumn id="7" xr3:uid="{9A3C4F72-7566-4EEE-A377-6EEDC6F6AA1A}" name="Dp_mean"/>
    <tableColumn id="9" xr3:uid="{AEC9B6DE-6449-48FD-8CE3-8B23FE8EEEBA}" name="ocurrencia" totalsRowFunction="sum" dataDxfId="2" totalsRowDxfId="1" dataCellStyle="Porcentaje">
      <calculatedColumnFormula>ocurrencias[[#This Row],[conteo]]/ocurrencias[[#Totals],[conteo]]</calculatedColumnFormula>
    </tableColumn>
    <tableColumn id="10" xr3:uid="{8AED2478-F5E9-40AA-9289-D100E9640F94}" name="Dias-Año" totalsRowFunction="sum" dataDxfId="0" dataCellStyle="Porcentaje">
      <calculatedColumnFormula>365*ocurrencias[[#This Row],[conteo]]/ocurrencias[[#Totals],[conteo]]</calculatedColumnFormula>
    </tableColumn>
    <tableColumn id="8" xr3:uid="{498F25E7-1020-4989-AF17-42FEF705AA50}" name="porcentaj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6"/>
  <sheetViews>
    <sheetView workbookViewId="0">
      <selection activeCell="P14" sqref="P14"/>
    </sheetView>
  </sheetViews>
  <sheetFormatPr baseColWidth="10" defaultRowHeight="14.4" x14ac:dyDescent="0.3"/>
  <cols>
    <col min="2" max="2" width="11.44140625" style="1"/>
    <col min="9" max="9" width="17.44140625" customWidth="1"/>
    <col min="10" max="10" width="16.5546875" customWidth="1"/>
  </cols>
  <sheetData>
    <row r="1" spans="1:21" x14ac:dyDescent="0.3">
      <c r="A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P1" s="2" t="s">
        <v>22</v>
      </c>
      <c r="Q1" s="3"/>
      <c r="R1" s="3"/>
      <c r="S1" s="3"/>
      <c r="T1" s="3"/>
      <c r="U1" s="4"/>
    </row>
    <row r="2" spans="1:21" x14ac:dyDescent="0.3">
      <c r="A2" s="1">
        <v>1</v>
      </c>
      <c r="B2" s="1" t="s">
        <v>16</v>
      </c>
      <c r="C2">
        <v>202.5</v>
      </c>
      <c r="D2">
        <v>225</v>
      </c>
      <c r="E2">
        <v>2</v>
      </c>
      <c r="F2">
        <v>2.5</v>
      </c>
      <c r="G2">
        <v>14</v>
      </c>
      <c r="H2">
        <v>16</v>
      </c>
      <c r="I2">
        <v>2.2389423341043302</v>
      </c>
      <c r="J2">
        <v>14.890395808819299</v>
      </c>
      <c r="K2">
        <v>213.614063867016</v>
      </c>
      <c r="L2">
        <v>54864</v>
      </c>
      <c r="M2" s="11">
        <f t="shared" ref="M2" si="0">L2/$P$2</f>
        <v>0.13708220584818115</v>
      </c>
      <c r="N2" s="12">
        <f t="shared" ref="N2" si="1">(365*L2)/$P$2</f>
        <v>50.035005134586122</v>
      </c>
      <c r="P2" s="5">
        <f>SUM(L2:L256)</f>
        <v>400227</v>
      </c>
      <c r="Q2" s="6"/>
      <c r="R2" s="6">
        <v>365</v>
      </c>
      <c r="S2" s="6"/>
      <c r="T2" s="6"/>
      <c r="U2" s="7"/>
    </row>
    <row r="3" spans="1:21" x14ac:dyDescent="0.3">
      <c r="A3" s="1">
        <v>2</v>
      </c>
      <c r="B3" s="1" t="s">
        <v>16</v>
      </c>
      <c r="C3">
        <v>202.5</v>
      </c>
      <c r="D3">
        <v>225</v>
      </c>
      <c r="E3">
        <v>1.5</v>
      </c>
      <c r="F3">
        <v>2</v>
      </c>
      <c r="G3">
        <v>12</v>
      </c>
      <c r="H3">
        <v>14</v>
      </c>
      <c r="I3">
        <v>1.77506931246759</v>
      </c>
      <c r="J3">
        <v>12.999481144190501</v>
      </c>
      <c r="K3">
        <v>213.897772100537</v>
      </c>
      <c r="L3">
        <v>53234</v>
      </c>
      <c r="M3" s="11">
        <f t="shared" ref="M3:M66" si="2">L3/$P$2</f>
        <v>0.13300951709904629</v>
      </c>
      <c r="N3" s="12">
        <f t="shared" ref="N3:N66" si="3">(365*L3)/$P$2</f>
        <v>48.548473741151895</v>
      </c>
      <c r="P3" s="5" t="s">
        <v>23</v>
      </c>
      <c r="Q3" s="6"/>
      <c r="R3" s="6" t="s">
        <v>24</v>
      </c>
      <c r="S3" s="6" t="s">
        <v>25</v>
      </c>
      <c r="T3" s="6" t="s">
        <v>26</v>
      </c>
      <c r="U3" s="7"/>
    </row>
    <row r="4" spans="1:21" x14ac:dyDescent="0.3">
      <c r="A4" s="1">
        <v>3</v>
      </c>
      <c r="B4" s="1" t="s">
        <v>16</v>
      </c>
      <c r="C4">
        <v>202.5</v>
      </c>
      <c r="D4">
        <v>225</v>
      </c>
      <c r="E4">
        <v>1.5</v>
      </c>
      <c r="F4">
        <v>2</v>
      </c>
      <c r="G4">
        <v>14</v>
      </c>
      <c r="H4">
        <v>16</v>
      </c>
      <c r="I4">
        <v>1.8245774433027799</v>
      </c>
      <c r="J4">
        <v>14.753956067698001</v>
      </c>
      <c r="K4">
        <v>215.808849557522</v>
      </c>
      <c r="L4">
        <v>31640</v>
      </c>
      <c r="M4" s="11">
        <f t="shared" si="2"/>
        <v>7.9055136210200716E-2</v>
      </c>
      <c r="N4" s="12">
        <f t="shared" si="3"/>
        <v>28.85512471672326</v>
      </c>
      <c r="P4" s="5"/>
      <c r="Q4" s="6"/>
      <c r="R4" s="6"/>
      <c r="S4" s="6"/>
      <c r="T4" s="6"/>
      <c r="U4" s="7"/>
    </row>
    <row r="5" spans="1:21" ht="15" thickBot="1" x14ac:dyDescent="0.35">
      <c r="A5" s="1">
        <v>4</v>
      </c>
      <c r="B5" s="1" t="s">
        <v>16</v>
      </c>
      <c r="C5">
        <v>202.5</v>
      </c>
      <c r="D5">
        <v>225</v>
      </c>
      <c r="E5">
        <v>2</v>
      </c>
      <c r="F5">
        <v>2.5</v>
      </c>
      <c r="G5">
        <v>12</v>
      </c>
      <c r="H5">
        <v>14</v>
      </c>
      <c r="I5">
        <v>2.1893836361567698</v>
      </c>
      <c r="J5">
        <v>13.2102442522371</v>
      </c>
      <c r="K5">
        <v>212.06464992389601</v>
      </c>
      <c r="L5">
        <v>26280</v>
      </c>
      <c r="M5" s="11">
        <f t="shared" si="2"/>
        <v>6.5662736397094648E-2</v>
      </c>
      <c r="N5" s="12">
        <f t="shared" si="3"/>
        <v>23.966898784939549</v>
      </c>
      <c r="P5" s="8" t="s">
        <v>27</v>
      </c>
      <c r="Q5" s="9"/>
      <c r="R5" s="9"/>
      <c r="S5" s="9"/>
      <c r="T5" s="9"/>
      <c r="U5" s="10"/>
    </row>
    <row r="6" spans="1:21" x14ac:dyDescent="0.3">
      <c r="A6" s="1">
        <v>5</v>
      </c>
      <c r="B6" s="1" t="s">
        <v>16</v>
      </c>
      <c r="C6">
        <v>202.5</v>
      </c>
      <c r="D6">
        <v>225</v>
      </c>
      <c r="E6">
        <v>2.5</v>
      </c>
      <c r="F6">
        <v>3</v>
      </c>
      <c r="G6">
        <v>14</v>
      </c>
      <c r="H6">
        <v>16</v>
      </c>
      <c r="I6">
        <v>2.6964909594920501</v>
      </c>
      <c r="J6">
        <v>15.12672456496</v>
      </c>
      <c r="K6">
        <v>211.743958801003</v>
      </c>
      <c r="L6">
        <v>22719</v>
      </c>
      <c r="M6" s="11">
        <f t="shared" si="2"/>
        <v>5.6765285700365042E-2</v>
      </c>
      <c r="N6" s="12">
        <f t="shared" si="3"/>
        <v>20.719329280633239</v>
      </c>
    </row>
    <row r="7" spans="1:21" x14ac:dyDescent="0.3">
      <c r="A7" s="1">
        <v>6</v>
      </c>
      <c r="B7" s="1" t="s">
        <v>16</v>
      </c>
      <c r="C7">
        <v>202.5</v>
      </c>
      <c r="D7">
        <v>225</v>
      </c>
      <c r="E7">
        <v>2</v>
      </c>
      <c r="F7">
        <v>2.5</v>
      </c>
      <c r="G7">
        <v>16</v>
      </c>
      <c r="H7">
        <v>18</v>
      </c>
      <c r="I7">
        <v>2.2587587928642998</v>
      </c>
      <c r="J7">
        <v>16.913895825631901</v>
      </c>
      <c r="K7">
        <v>215.72799097065399</v>
      </c>
      <c r="L7">
        <v>15948</v>
      </c>
      <c r="M7" s="11">
        <f t="shared" si="2"/>
        <v>3.9847386608099902E-2</v>
      </c>
      <c r="N7" s="12">
        <f t="shared" si="3"/>
        <v>14.544296111956465</v>
      </c>
    </row>
    <row r="8" spans="1:21" x14ac:dyDescent="0.3">
      <c r="A8" s="1">
        <v>7</v>
      </c>
      <c r="B8" s="1" t="s">
        <v>16</v>
      </c>
      <c r="C8">
        <v>202.5</v>
      </c>
      <c r="D8">
        <v>225</v>
      </c>
      <c r="E8">
        <v>2.5</v>
      </c>
      <c r="F8">
        <v>3</v>
      </c>
      <c r="G8">
        <v>16</v>
      </c>
      <c r="H8">
        <v>18</v>
      </c>
      <c r="I8">
        <v>2.7150069993595598</v>
      </c>
      <c r="J8">
        <v>16.8556571981185</v>
      </c>
      <c r="K8">
        <v>213.42543458371401</v>
      </c>
      <c r="L8">
        <v>12023</v>
      </c>
      <c r="M8" s="11">
        <f t="shared" si="2"/>
        <v>3.0040452043465334E-2</v>
      </c>
      <c r="N8" s="12">
        <f t="shared" si="3"/>
        <v>10.964764995864847</v>
      </c>
    </row>
    <row r="9" spans="1:21" x14ac:dyDescent="0.3">
      <c r="A9" s="1">
        <v>8</v>
      </c>
      <c r="B9" s="1" t="s">
        <v>17</v>
      </c>
      <c r="C9">
        <v>225</v>
      </c>
      <c r="D9">
        <v>247.5</v>
      </c>
      <c r="E9">
        <v>1.5</v>
      </c>
      <c r="F9">
        <v>2</v>
      </c>
      <c r="G9">
        <v>14</v>
      </c>
      <c r="H9">
        <v>16</v>
      </c>
      <c r="I9">
        <v>1.79157409851022</v>
      </c>
      <c r="J9">
        <v>14.7587747309426</v>
      </c>
      <c r="K9">
        <v>232.861193876502</v>
      </c>
      <c r="L9">
        <v>9733</v>
      </c>
      <c r="M9" s="11">
        <f t="shared" si="2"/>
        <v>2.4318699138239048E-2</v>
      </c>
      <c r="N9" s="12">
        <f t="shared" si="3"/>
        <v>8.8763251854572527</v>
      </c>
    </row>
    <row r="10" spans="1:21" x14ac:dyDescent="0.3">
      <c r="A10" s="1">
        <v>9</v>
      </c>
      <c r="B10" s="1" t="s">
        <v>16</v>
      </c>
      <c r="C10">
        <v>202.5</v>
      </c>
      <c r="D10">
        <v>225</v>
      </c>
      <c r="E10">
        <v>1.5</v>
      </c>
      <c r="F10">
        <v>2</v>
      </c>
      <c r="G10">
        <v>16</v>
      </c>
      <c r="H10">
        <v>18</v>
      </c>
      <c r="I10">
        <v>1.8198123799053201</v>
      </c>
      <c r="J10">
        <v>16.915844916425002</v>
      </c>
      <c r="K10">
        <v>217.01739644970399</v>
      </c>
      <c r="L10">
        <v>8450</v>
      </c>
      <c r="M10" s="11">
        <f t="shared" si="2"/>
        <v>2.111301836207952E-2</v>
      </c>
      <c r="N10" s="12">
        <f t="shared" si="3"/>
        <v>7.7062517021590251</v>
      </c>
    </row>
    <row r="11" spans="1:21" x14ac:dyDescent="0.3">
      <c r="A11" s="1">
        <v>10</v>
      </c>
      <c r="B11" s="1" t="s">
        <v>17</v>
      </c>
      <c r="C11">
        <v>225</v>
      </c>
      <c r="D11">
        <v>247.5</v>
      </c>
      <c r="E11">
        <v>1.5</v>
      </c>
      <c r="F11">
        <v>2</v>
      </c>
      <c r="G11">
        <v>12</v>
      </c>
      <c r="H11">
        <v>14</v>
      </c>
      <c r="I11">
        <v>1.7224034917006199</v>
      </c>
      <c r="J11">
        <v>13.1677084307182</v>
      </c>
      <c r="K11">
        <v>230.51222493887499</v>
      </c>
      <c r="L11">
        <v>7362</v>
      </c>
      <c r="M11" s="11">
        <f t="shared" si="2"/>
        <v>1.8394561086583362E-2</v>
      </c>
      <c r="N11" s="12">
        <f t="shared" si="3"/>
        <v>6.7140147966029282</v>
      </c>
    </row>
    <row r="12" spans="1:21" x14ac:dyDescent="0.3">
      <c r="A12" s="1">
        <v>11</v>
      </c>
      <c r="B12" s="1" t="s">
        <v>16</v>
      </c>
      <c r="C12">
        <v>202.5</v>
      </c>
      <c r="D12">
        <v>225</v>
      </c>
      <c r="E12">
        <v>1.5</v>
      </c>
      <c r="F12">
        <v>2</v>
      </c>
      <c r="G12">
        <v>10</v>
      </c>
      <c r="H12">
        <v>12</v>
      </c>
      <c r="I12">
        <v>1.69981720587672</v>
      </c>
      <c r="J12">
        <v>11.5435321244462</v>
      </c>
      <c r="K12">
        <v>211.383353833538</v>
      </c>
      <c r="L12">
        <v>7317</v>
      </c>
      <c r="M12" s="11">
        <f t="shared" si="2"/>
        <v>1.8282124894122585E-2</v>
      </c>
      <c r="N12" s="12">
        <f t="shared" si="3"/>
        <v>6.6729755863547435</v>
      </c>
    </row>
    <row r="13" spans="1:21" x14ac:dyDescent="0.3">
      <c r="A13" s="1">
        <v>12</v>
      </c>
      <c r="B13" s="1" t="s">
        <v>15</v>
      </c>
      <c r="C13">
        <v>180</v>
      </c>
      <c r="D13">
        <v>202.5</v>
      </c>
      <c r="E13">
        <v>2</v>
      </c>
      <c r="F13">
        <v>2.5</v>
      </c>
      <c r="G13">
        <v>12</v>
      </c>
      <c r="H13">
        <v>14</v>
      </c>
      <c r="I13">
        <v>2.2113065330299002</v>
      </c>
      <c r="J13">
        <v>13.005869171855901</v>
      </c>
      <c r="K13">
        <v>198.14217598612899</v>
      </c>
      <c r="L13">
        <v>6921</v>
      </c>
      <c r="M13" s="11">
        <f t="shared" si="2"/>
        <v>1.7292686400467733E-2</v>
      </c>
      <c r="N13" s="12">
        <f t="shared" si="3"/>
        <v>6.3118305361707234</v>
      </c>
    </row>
    <row r="14" spans="1:21" x14ac:dyDescent="0.3">
      <c r="A14" s="1">
        <v>13</v>
      </c>
      <c r="B14" s="1" t="s">
        <v>15</v>
      </c>
      <c r="C14">
        <v>180</v>
      </c>
      <c r="D14">
        <v>202.5</v>
      </c>
      <c r="E14">
        <v>2</v>
      </c>
      <c r="F14">
        <v>2.5</v>
      </c>
      <c r="G14">
        <v>14</v>
      </c>
      <c r="H14">
        <v>16</v>
      </c>
      <c r="I14">
        <v>2.2643247973282401</v>
      </c>
      <c r="J14">
        <v>14.8035553366513</v>
      </c>
      <c r="K14">
        <v>198.409864944216</v>
      </c>
      <c r="L14">
        <v>6812</v>
      </c>
      <c r="M14" s="11">
        <f t="shared" si="2"/>
        <v>1.7020340956507181E-2</v>
      </c>
      <c r="N14" s="12">
        <f t="shared" si="3"/>
        <v>6.2124244491251215</v>
      </c>
    </row>
    <row r="15" spans="1:21" x14ac:dyDescent="0.3">
      <c r="A15" s="1">
        <v>14</v>
      </c>
      <c r="B15" s="1" t="s">
        <v>17</v>
      </c>
      <c r="C15">
        <v>225</v>
      </c>
      <c r="D15">
        <v>247.5</v>
      </c>
      <c r="E15">
        <v>2</v>
      </c>
      <c r="F15">
        <v>2.5</v>
      </c>
      <c r="G15">
        <v>14</v>
      </c>
      <c r="H15">
        <v>16</v>
      </c>
      <c r="I15">
        <v>2.1838862303634898</v>
      </c>
      <c r="J15">
        <v>15.00470039366</v>
      </c>
      <c r="K15">
        <v>231.00989945862301</v>
      </c>
      <c r="L15">
        <v>6465</v>
      </c>
      <c r="M15" s="11">
        <f t="shared" si="2"/>
        <v>1.6153332983531846E-2</v>
      </c>
      <c r="N15" s="12">
        <f t="shared" si="3"/>
        <v>5.895966538989124</v>
      </c>
    </row>
    <row r="16" spans="1:21" x14ac:dyDescent="0.3">
      <c r="A16" s="1">
        <v>15</v>
      </c>
      <c r="B16" s="1" t="s">
        <v>16</v>
      </c>
      <c r="C16">
        <v>202.5</v>
      </c>
      <c r="D16">
        <v>225</v>
      </c>
      <c r="E16">
        <v>1</v>
      </c>
      <c r="F16">
        <v>1.5</v>
      </c>
      <c r="G16">
        <v>12</v>
      </c>
      <c r="H16">
        <v>14</v>
      </c>
      <c r="I16">
        <v>1.3955537290721201</v>
      </c>
      <c r="J16">
        <v>12.684611389282001</v>
      </c>
      <c r="K16">
        <v>215.54063664070401</v>
      </c>
      <c r="L16">
        <v>5906</v>
      </c>
      <c r="M16" s="11">
        <f t="shared" si="2"/>
        <v>1.4756625614963508E-2</v>
      </c>
      <c r="N16" s="12">
        <f t="shared" si="3"/>
        <v>5.3861683494616805</v>
      </c>
    </row>
    <row r="17" spans="1:14" x14ac:dyDescent="0.3">
      <c r="A17" s="1">
        <v>16</v>
      </c>
      <c r="B17" s="1" t="s">
        <v>15</v>
      </c>
      <c r="C17">
        <v>180</v>
      </c>
      <c r="D17">
        <v>202.5</v>
      </c>
      <c r="E17">
        <v>1.5</v>
      </c>
      <c r="F17">
        <v>2</v>
      </c>
      <c r="G17">
        <v>10</v>
      </c>
      <c r="H17">
        <v>12</v>
      </c>
      <c r="I17">
        <v>1.77538650182874</v>
      </c>
      <c r="J17">
        <v>11.1044255014816</v>
      </c>
      <c r="K17">
        <v>193.80447786703101</v>
      </c>
      <c r="L17">
        <v>5851</v>
      </c>
      <c r="M17" s="11">
        <f t="shared" si="2"/>
        <v>1.461920360195589E-2</v>
      </c>
      <c r="N17" s="12">
        <f t="shared" si="3"/>
        <v>5.3360093147139001</v>
      </c>
    </row>
    <row r="18" spans="1:14" x14ac:dyDescent="0.3">
      <c r="A18" s="1">
        <v>17</v>
      </c>
      <c r="B18" s="1" t="s">
        <v>15</v>
      </c>
      <c r="C18">
        <v>180</v>
      </c>
      <c r="D18">
        <v>202.5</v>
      </c>
      <c r="E18">
        <v>1.5</v>
      </c>
      <c r="F18">
        <v>2</v>
      </c>
      <c r="G18">
        <v>12</v>
      </c>
      <c r="H18">
        <v>14</v>
      </c>
      <c r="I18">
        <v>1.8147242958794101</v>
      </c>
      <c r="J18">
        <v>12.800105804362801</v>
      </c>
      <c r="K18">
        <v>198.77898679985699</v>
      </c>
      <c r="L18">
        <v>5606</v>
      </c>
      <c r="M18" s="11">
        <f t="shared" si="2"/>
        <v>1.4007050998558318E-2</v>
      </c>
      <c r="N18" s="12">
        <f t="shared" si="3"/>
        <v>5.1125736144737859</v>
      </c>
    </row>
    <row r="19" spans="1:14" x14ac:dyDescent="0.3">
      <c r="A19" s="1">
        <v>18</v>
      </c>
      <c r="B19" s="1" t="s">
        <v>16</v>
      </c>
      <c r="C19">
        <v>202.5</v>
      </c>
      <c r="D19">
        <v>225</v>
      </c>
      <c r="E19">
        <v>3</v>
      </c>
      <c r="F19">
        <v>3.5</v>
      </c>
      <c r="G19">
        <v>14</v>
      </c>
      <c r="H19">
        <v>16</v>
      </c>
      <c r="I19">
        <v>3.17945150622994</v>
      </c>
      <c r="J19">
        <v>15.237053370917801</v>
      </c>
      <c r="K19">
        <v>210.73758731357299</v>
      </c>
      <c r="L19">
        <v>5297</v>
      </c>
      <c r="M19" s="11">
        <f t="shared" si="2"/>
        <v>1.3234989143660973E-2</v>
      </c>
      <c r="N19" s="12">
        <f t="shared" si="3"/>
        <v>4.8307710374362554</v>
      </c>
    </row>
    <row r="20" spans="1:14" x14ac:dyDescent="0.3">
      <c r="A20" s="1">
        <v>19</v>
      </c>
      <c r="B20" s="1" t="s">
        <v>15</v>
      </c>
      <c r="C20">
        <v>180</v>
      </c>
      <c r="D20">
        <v>202.5</v>
      </c>
      <c r="E20">
        <v>2.5</v>
      </c>
      <c r="F20">
        <v>3</v>
      </c>
      <c r="G20">
        <v>14</v>
      </c>
      <c r="H20">
        <v>16</v>
      </c>
      <c r="I20">
        <v>2.7187200613991198</v>
      </c>
      <c r="J20">
        <v>14.964506623911699</v>
      </c>
      <c r="K20">
        <v>198.524463876743</v>
      </c>
      <c r="L20">
        <v>4803</v>
      </c>
      <c r="M20" s="11">
        <f t="shared" si="2"/>
        <v>1.2000689608647093E-2</v>
      </c>
      <c r="N20" s="12">
        <f t="shared" si="3"/>
        <v>4.3802517071561891</v>
      </c>
    </row>
    <row r="21" spans="1:14" x14ac:dyDescent="0.3">
      <c r="A21" s="1">
        <v>20</v>
      </c>
      <c r="B21" s="1" t="s">
        <v>16</v>
      </c>
      <c r="C21">
        <v>202.5</v>
      </c>
      <c r="D21">
        <v>225</v>
      </c>
      <c r="E21">
        <v>3</v>
      </c>
      <c r="F21">
        <v>3.5</v>
      </c>
      <c r="G21">
        <v>16</v>
      </c>
      <c r="H21">
        <v>18</v>
      </c>
      <c r="I21">
        <v>3.2147616049100498</v>
      </c>
      <c r="J21">
        <v>16.926755076659202</v>
      </c>
      <c r="K21">
        <v>211.97544973544899</v>
      </c>
      <c r="L21">
        <v>4725</v>
      </c>
      <c r="M21" s="11">
        <f t="shared" si="2"/>
        <v>1.1805800208381744E-2</v>
      </c>
      <c r="N21" s="12">
        <f t="shared" si="3"/>
        <v>4.3091170760593362</v>
      </c>
    </row>
    <row r="22" spans="1:14" x14ac:dyDescent="0.3">
      <c r="A22" s="1">
        <v>21</v>
      </c>
      <c r="B22" s="1" t="s">
        <v>16</v>
      </c>
      <c r="C22">
        <v>202.5</v>
      </c>
      <c r="D22">
        <v>225</v>
      </c>
      <c r="E22">
        <v>2.5</v>
      </c>
      <c r="F22">
        <v>3</v>
      </c>
      <c r="G22">
        <v>12</v>
      </c>
      <c r="H22">
        <v>14</v>
      </c>
      <c r="I22">
        <v>2.66433887989372</v>
      </c>
      <c r="J22">
        <v>13.2829281313942</v>
      </c>
      <c r="K22">
        <v>210.05823591923399</v>
      </c>
      <c r="L22">
        <v>4705</v>
      </c>
      <c r="M22" s="11">
        <f t="shared" si="2"/>
        <v>1.1755828567288063E-2</v>
      </c>
      <c r="N22" s="12">
        <f t="shared" si="3"/>
        <v>4.2908774270601437</v>
      </c>
    </row>
    <row r="23" spans="1:14" x14ac:dyDescent="0.3">
      <c r="A23" s="1">
        <v>22</v>
      </c>
      <c r="B23" s="1" t="s">
        <v>16</v>
      </c>
      <c r="C23">
        <v>202.5</v>
      </c>
      <c r="D23">
        <v>225</v>
      </c>
      <c r="E23">
        <v>2</v>
      </c>
      <c r="F23">
        <v>2.5</v>
      </c>
      <c r="G23">
        <v>18</v>
      </c>
      <c r="H23">
        <v>20</v>
      </c>
      <c r="I23">
        <v>2.2504981952894001</v>
      </c>
      <c r="J23">
        <v>19.138893191455299</v>
      </c>
      <c r="K23">
        <v>216.286895514908</v>
      </c>
      <c r="L23">
        <v>3991</v>
      </c>
      <c r="M23" s="11">
        <f t="shared" si="2"/>
        <v>9.9718409802437118E-3</v>
      </c>
      <c r="N23" s="12">
        <f t="shared" si="3"/>
        <v>3.6397219577889546</v>
      </c>
    </row>
    <row r="24" spans="1:14" x14ac:dyDescent="0.3">
      <c r="A24" s="1">
        <v>23</v>
      </c>
      <c r="B24" s="1" t="s">
        <v>16</v>
      </c>
      <c r="C24">
        <v>202.5</v>
      </c>
      <c r="D24">
        <v>225</v>
      </c>
      <c r="E24">
        <v>1</v>
      </c>
      <c r="F24">
        <v>1.5</v>
      </c>
      <c r="G24">
        <v>10</v>
      </c>
      <c r="H24">
        <v>12</v>
      </c>
      <c r="I24">
        <v>1.3701740352607099</v>
      </c>
      <c r="J24">
        <v>11.3871103743655</v>
      </c>
      <c r="K24">
        <v>213.16184821889499</v>
      </c>
      <c r="L24">
        <v>3874</v>
      </c>
      <c r="M24" s="11">
        <f t="shared" si="2"/>
        <v>9.6795068798456868E-3</v>
      </c>
      <c r="N24" s="12">
        <f t="shared" si="3"/>
        <v>3.5330200111436758</v>
      </c>
    </row>
    <row r="25" spans="1:14" x14ac:dyDescent="0.3">
      <c r="A25" s="1">
        <v>24</v>
      </c>
      <c r="B25" s="1" t="s">
        <v>20</v>
      </c>
      <c r="C25">
        <v>292.5</v>
      </c>
      <c r="D25">
        <v>315</v>
      </c>
      <c r="E25">
        <v>1.5</v>
      </c>
      <c r="F25">
        <v>2</v>
      </c>
      <c r="G25">
        <v>16</v>
      </c>
      <c r="H25">
        <v>18</v>
      </c>
      <c r="I25">
        <v>1.75278023362503</v>
      </c>
      <c r="J25">
        <v>17.231292903544102</v>
      </c>
      <c r="K25">
        <v>300.95438875629799</v>
      </c>
      <c r="L25">
        <v>3771</v>
      </c>
      <c r="M25" s="11">
        <f t="shared" si="2"/>
        <v>9.4221529282132385E-3</v>
      </c>
      <c r="N25" s="12">
        <f t="shared" si="3"/>
        <v>3.4390858187978322</v>
      </c>
    </row>
    <row r="26" spans="1:14" x14ac:dyDescent="0.3">
      <c r="A26" s="1">
        <v>25</v>
      </c>
      <c r="B26" s="1" t="s">
        <v>15</v>
      </c>
      <c r="C26">
        <v>180</v>
      </c>
      <c r="D26">
        <v>202.5</v>
      </c>
      <c r="E26">
        <v>2</v>
      </c>
      <c r="F26">
        <v>2.5</v>
      </c>
      <c r="G26">
        <v>10</v>
      </c>
      <c r="H26">
        <v>12</v>
      </c>
      <c r="I26">
        <v>2.2072249220640501</v>
      </c>
      <c r="J26">
        <v>11.208240600500501</v>
      </c>
      <c r="K26">
        <v>192.22064056939499</v>
      </c>
      <c r="L26">
        <v>3091</v>
      </c>
      <c r="M26" s="11">
        <f t="shared" si="2"/>
        <v>7.7231171310281413E-3</v>
      </c>
      <c r="N26" s="12">
        <f t="shared" si="3"/>
        <v>2.8189377528252715</v>
      </c>
    </row>
    <row r="27" spans="1:14" x14ac:dyDescent="0.3">
      <c r="A27" s="1">
        <v>26</v>
      </c>
      <c r="B27" s="1" t="s">
        <v>18</v>
      </c>
      <c r="C27">
        <v>247.5</v>
      </c>
      <c r="D27">
        <v>270</v>
      </c>
      <c r="E27">
        <v>1.5</v>
      </c>
      <c r="F27">
        <v>2</v>
      </c>
      <c r="G27">
        <v>14</v>
      </c>
      <c r="H27">
        <v>16</v>
      </c>
      <c r="I27">
        <v>1.7397087425500299</v>
      </c>
      <c r="J27">
        <v>14.938753745474701</v>
      </c>
      <c r="K27">
        <v>257.89288361749402</v>
      </c>
      <c r="L27">
        <v>2698</v>
      </c>
      <c r="M27" s="11">
        <f t="shared" si="2"/>
        <v>6.7411743835373425E-3</v>
      </c>
      <c r="N27" s="12">
        <f t="shared" si="3"/>
        <v>2.4605286499911299</v>
      </c>
    </row>
    <row r="28" spans="1:14" x14ac:dyDescent="0.3">
      <c r="A28" s="1">
        <v>27</v>
      </c>
      <c r="B28" s="1" t="s">
        <v>15</v>
      </c>
      <c r="C28">
        <v>180</v>
      </c>
      <c r="D28">
        <v>202.5</v>
      </c>
      <c r="E28">
        <v>1.5</v>
      </c>
      <c r="F28">
        <v>2</v>
      </c>
      <c r="G28">
        <v>14</v>
      </c>
      <c r="H28">
        <v>16</v>
      </c>
      <c r="I28">
        <v>1.8164996760869501</v>
      </c>
      <c r="J28">
        <v>14.8015736459837</v>
      </c>
      <c r="K28">
        <v>198.1604743083</v>
      </c>
      <c r="L28">
        <v>2530</v>
      </c>
      <c r="M28" s="11">
        <f t="shared" si="2"/>
        <v>6.3214125983504363E-3</v>
      </c>
      <c r="N28" s="12">
        <f t="shared" si="3"/>
        <v>2.307315598397909</v>
      </c>
    </row>
    <row r="29" spans="1:14" x14ac:dyDescent="0.3">
      <c r="A29" s="1">
        <v>28</v>
      </c>
      <c r="B29" s="1" t="s">
        <v>17</v>
      </c>
      <c r="C29">
        <v>225</v>
      </c>
      <c r="D29">
        <v>247.5</v>
      </c>
      <c r="E29">
        <v>2</v>
      </c>
      <c r="F29">
        <v>2.5</v>
      </c>
      <c r="G29">
        <v>16</v>
      </c>
      <c r="H29">
        <v>18</v>
      </c>
      <c r="I29">
        <v>2.2180604548800602</v>
      </c>
      <c r="J29">
        <v>16.8362623516973</v>
      </c>
      <c r="K29">
        <v>231.22663358147199</v>
      </c>
      <c r="L29">
        <v>2418</v>
      </c>
      <c r="M29" s="11">
        <f t="shared" si="2"/>
        <v>6.0415714082258315E-3</v>
      </c>
      <c r="N29" s="12">
        <f t="shared" si="3"/>
        <v>2.2051735640024286</v>
      </c>
    </row>
    <row r="30" spans="1:14" x14ac:dyDescent="0.3">
      <c r="A30" s="1">
        <v>29</v>
      </c>
      <c r="B30" s="1" t="s">
        <v>17</v>
      </c>
      <c r="C30">
        <v>225</v>
      </c>
      <c r="D30">
        <v>247.5</v>
      </c>
      <c r="E30">
        <v>1.5</v>
      </c>
      <c r="F30">
        <v>2</v>
      </c>
      <c r="G30">
        <v>16</v>
      </c>
      <c r="H30">
        <v>18</v>
      </c>
      <c r="I30">
        <v>1.8158230893635501</v>
      </c>
      <c r="J30">
        <v>16.793495246200401</v>
      </c>
      <c r="K30">
        <v>233.003487358326</v>
      </c>
      <c r="L30">
        <v>2294</v>
      </c>
      <c r="M30" s="11">
        <f t="shared" si="2"/>
        <v>5.73174723344502E-3</v>
      </c>
      <c r="N30" s="12">
        <f t="shared" si="3"/>
        <v>2.0920877402074325</v>
      </c>
    </row>
    <row r="31" spans="1:14" x14ac:dyDescent="0.3">
      <c r="A31" s="1">
        <v>30</v>
      </c>
      <c r="B31" s="1" t="s">
        <v>15</v>
      </c>
      <c r="C31">
        <v>180</v>
      </c>
      <c r="D31">
        <v>202.5</v>
      </c>
      <c r="E31">
        <v>2.5</v>
      </c>
      <c r="F31">
        <v>3</v>
      </c>
      <c r="G31">
        <v>12</v>
      </c>
      <c r="H31">
        <v>14</v>
      </c>
      <c r="I31">
        <v>2.7039579630658799</v>
      </c>
      <c r="J31">
        <v>13.1034903536186</v>
      </c>
      <c r="K31">
        <v>197.550874047512</v>
      </c>
      <c r="L31">
        <v>2231</v>
      </c>
      <c r="M31" s="11">
        <f t="shared" si="2"/>
        <v>5.5743365639999301E-3</v>
      </c>
      <c r="N31" s="12">
        <f t="shared" si="3"/>
        <v>2.0346328458599743</v>
      </c>
    </row>
    <row r="32" spans="1:14" x14ac:dyDescent="0.3">
      <c r="A32" s="1">
        <v>31</v>
      </c>
      <c r="B32" s="1" t="s">
        <v>15</v>
      </c>
      <c r="C32">
        <v>180</v>
      </c>
      <c r="D32">
        <v>202.5</v>
      </c>
      <c r="E32">
        <v>2</v>
      </c>
      <c r="F32">
        <v>2.5</v>
      </c>
      <c r="G32">
        <v>8</v>
      </c>
      <c r="H32">
        <v>10</v>
      </c>
      <c r="I32">
        <v>2.25925760804494</v>
      </c>
      <c r="J32">
        <v>8.9488741960706193</v>
      </c>
      <c r="K32">
        <v>184.888539325842</v>
      </c>
      <c r="L32">
        <v>2225</v>
      </c>
      <c r="M32" s="11">
        <f t="shared" si="2"/>
        <v>5.5593450716718259E-3</v>
      </c>
      <c r="N32" s="12">
        <f t="shared" si="3"/>
        <v>2.0291609511602164</v>
      </c>
    </row>
    <row r="33" spans="1:14" x14ac:dyDescent="0.3">
      <c r="A33" s="1">
        <v>32</v>
      </c>
      <c r="B33" s="1" t="s">
        <v>16</v>
      </c>
      <c r="C33">
        <v>202.5</v>
      </c>
      <c r="D33">
        <v>225</v>
      </c>
      <c r="E33">
        <v>2.5</v>
      </c>
      <c r="F33">
        <v>3</v>
      </c>
      <c r="G33">
        <v>18</v>
      </c>
      <c r="H33">
        <v>20</v>
      </c>
      <c r="I33">
        <v>2.7097881533086499</v>
      </c>
      <c r="J33">
        <v>19.066856215703201</v>
      </c>
      <c r="K33">
        <v>215.022211938917</v>
      </c>
      <c r="L33">
        <v>2161</v>
      </c>
      <c r="M33" s="11">
        <f t="shared" si="2"/>
        <v>5.399435820172052E-3</v>
      </c>
      <c r="N33" s="12">
        <f t="shared" si="3"/>
        <v>1.9707940743627992</v>
      </c>
    </row>
    <row r="34" spans="1:14" x14ac:dyDescent="0.3">
      <c r="A34" s="1">
        <v>33</v>
      </c>
      <c r="B34" s="1" t="s">
        <v>19</v>
      </c>
      <c r="C34">
        <v>270</v>
      </c>
      <c r="D34">
        <v>292.5</v>
      </c>
      <c r="E34">
        <v>1.5</v>
      </c>
      <c r="F34">
        <v>2</v>
      </c>
      <c r="G34">
        <v>14</v>
      </c>
      <c r="H34">
        <v>16</v>
      </c>
      <c r="I34">
        <v>1.7209166937593601</v>
      </c>
      <c r="J34">
        <v>15.1839703440313</v>
      </c>
      <c r="K34">
        <v>281.36495257114302</v>
      </c>
      <c r="L34">
        <v>2003</v>
      </c>
      <c r="M34" s="11">
        <f t="shared" si="2"/>
        <v>5.0046598555319854E-3</v>
      </c>
      <c r="N34" s="12">
        <f t="shared" si="3"/>
        <v>1.8267008472691748</v>
      </c>
    </row>
    <row r="35" spans="1:14" x14ac:dyDescent="0.3">
      <c r="A35" s="1">
        <v>34</v>
      </c>
      <c r="B35" s="1" t="s">
        <v>20</v>
      </c>
      <c r="C35">
        <v>292.5</v>
      </c>
      <c r="D35">
        <v>315</v>
      </c>
      <c r="E35">
        <v>1.5</v>
      </c>
      <c r="F35">
        <v>2</v>
      </c>
      <c r="G35">
        <v>14</v>
      </c>
      <c r="H35">
        <v>16</v>
      </c>
      <c r="I35">
        <v>1.69005398652021</v>
      </c>
      <c r="J35">
        <v>15.5235742142172</v>
      </c>
      <c r="K35">
        <v>299.37094358462298</v>
      </c>
      <c r="L35">
        <v>2003</v>
      </c>
      <c r="M35" s="11">
        <f t="shared" si="2"/>
        <v>5.0046598555319854E-3</v>
      </c>
      <c r="N35" s="12">
        <f t="shared" si="3"/>
        <v>1.8267008472691748</v>
      </c>
    </row>
    <row r="36" spans="1:14" x14ac:dyDescent="0.3">
      <c r="A36" s="1">
        <v>35</v>
      </c>
      <c r="B36" s="1" t="s">
        <v>16</v>
      </c>
      <c r="C36">
        <v>202.5</v>
      </c>
      <c r="D36">
        <v>225</v>
      </c>
      <c r="E36">
        <v>1.5</v>
      </c>
      <c r="F36">
        <v>2</v>
      </c>
      <c r="G36">
        <v>18</v>
      </c>
      <c r="H36">
        <v>20</v>
      </c>
      <c r="I36">
        <v>1.8231691444329801</v>
      </c>
      <c r="J36">
        <v>19.231131852819502</v>
      </c>
      <c r="K36">
        <v>217.18402061855599</v>
      </c>
      <c r="L36">
        <v>1940</v>
      </c>
      <c r="M36" s="11">
        <f t="shared" si="2"/>
        <v>4.8472491860868955E-3</v>
      </c>
      <c r="N36" s="12">
        <f t="shared" si="3"/>
        <v>1.7692459529217168</v>
      </c>
    </row>
    <row r="37" spans="1:14" x14ac:dyDescent="0.3">
      <c r="A37" s="1">
        <v>36</v>
      </c>
      <c r="B37" s="1" t="s">
        <v>15</v>
      </c>
      <c r="C37">
        <v>180</v>
      </c>
      <c r="D37">
        <v>202.5</v>
      </c>
      <c r="E37">
        <v>2.5</v>
      </c>
      <c r="F37">
        <v>3</v>
      </c>
      <c r="G37">
        <v>8</v>
      </c>
      <c r="H37">
        <v>10</v>
      </c>
      <c r="I37">
        <v>2.7173497753198199</v>
      </c>
      <c r="J37">
        <v>9.0977982225533403</v>
      </c>
      <c r="K37">
        <v>184.706289978678</v>
      </c>
      <c r="L37">
        <v>1876</v>
      </c>
      <c r="M37" s="11">
        <f t="shared" si="2"/>
        <v>4.6873399345871217E-3</v>
      </c>
      <c r="N37" s="12">
        <f t="shared" si="3"/>
        <v>1.7108790761242996</v>
      </c>
    </row>
    <row r="38" spans="1:14" x14ac:dyDescent="0.3">
      <c r="A38" s="1">
        <v>37</v>
      </c>
      <c r="B38" s="1" t="s">
        <v>15</v>
      </c>
      <c r="C38">
        <v>180</v>
      </c>
      <c r="D38">
        <v>202.5</v>
      </c>
      <c r="E38">
        <v>2.5</v>
      </c>
      <c r="F38">
        <v>3</v>
      </c>
      <c r="G38">
        <v>16</v>
      </c>
      <c r="H38">
        <v>18</v>
      </c>
      <c r="I38">
        <v>2.7503805933011698</v>
      </c>
      <c r="J38">
        <v>16.902466610861101</v>
      </c>
      <c r="K38">
        <v>197.92604501607701</v>
      </c>
      <c r="L38">
        <v>1866</v>
      </c>
      <c r="M38" s="11">
        <f t="shared" si="2"/>
        <v>4.6623541140402821E-3</v>
      </c>
      <c r="N38" s="12">
        <f t="shared" si="3"/>
        <v>1.7017592516247029</v>
      </c>
    </row>
    <row r="39" spans="1:14" x14ac:dyDescent="0.3">
      <c r="A39" s="1">
        <v>38</v>
      </c>
      <c r="B39" s="1" t="s">
        <v>16</v>
      </c>
      <c r="C39">
        <v>202.5</v>
      </c>
      <c r="D39">
        <v>225</v>
      </c>
      <c r="E39">
        <v>3.5</v>
      </c>
      <c r="F39">
        <v>4</v>
      </c>
      <c r="G39">
        <v>16</v>
      </c>
      <c r="H39">
        <v>18</v>
      </c>
      <c r="I39">
        <v>3.6865926211187201</v>
      </c>
      <c r="J39">
        <v>16.984263246593802</v>
      </c>
      <c r="K39">
        <v>211</v>
      </c>
      <c r="L39">
        <v>1752</v>
      </c>
      <c r="M39" s="11">
        <f t="shared" si="2"/>
        <v>4.3775157598063101E-3</v>
      </c>
      <c r="N39" s="12">
        <f t="shared" si="3"/>
        <v>1.597793252329303</v>
      </c>
    </row>
    <row r="40" spans="1:14" x14ac:dyDescent="0.3">
      <c r="A40" s="1">
        <v>39</v>
      </c>
      <c r="B40" s="1" t="s">
        <v>17</v>
      </c>
      <c r="C40">
        <v>225</v>
      </c>
      <c r="D40">
        <v>247.5</v>
      </c>
      <c r="E40">
        <v>1</v>
      </c>
      <c r="F40">
        <v>1.5</v>
      </c>
      <c r="G40">
        <v>12</v>
      </c>
      <c r="H40">
        <v>14</v>
      </c>
      <c r="I40">
        <v>1.38826221376037</v>
      </c>
      <c r="J40">
        <v>12.9404445226762</v>
      </c>
      <c r="K40">
        <v>232.533807829181</v>
      </c>
      <c r="L40">
        <v>1686</v>
      </c>
      <c r="M40" s="11">
        <f t="shared" si="2"/>
        <v>4.2126093441971681E-3</v>
      </c>
      <c r="N40" s="12">
        <f t="shared" si="3"/>
        <v>1.5376024106319663</v>
      </c>
    </row>
    <row r="41" spans="1:14" x14ac:dyDescent="0.3">
      <c r="A41" s="1">
        <v>40</v>
      </c>
      <c r="B41" s="1" t="s">
        <v>17</v>
      </c>
      <c r="C41">
        <v>225</v>
      </c>
      <c r="D41">
        <v>247.5</v>
      </c>
      <c r="E41">
        <v>2</v>
      </c>
      <c r="F41">
        <v>2.5</v>
      </c>
      <c r="G41">
        <v>12</v>
      </c>
      <c r="H41">
        <v>14</v>
      </c>
      <c r="I41">
        <v>2.1689976474545398</v>
      </c>
      <c r="J41">
        <v>13.254347920707801</v>
      </c>
      <c r="K41">
        <v>229.30545454545401</v>
      </c>
      <c r="L41">
        <v>1650</v>
      </c>
      <c r="M41" s="11">
        <f t="shared" si="2"/>
        <v>4.122660390228545E-3</v>
      </c>
      <c r="N41" s="12">
        <f t="shared" si="3"/>
        <v>1.5047710424334191</v>
      </c>
    </row>
    <row r="42" spans="1:14" x14ac:dyDescent="0.3">
      <c r="A42" s="1">
        <v>41</v>
      </c>
      <c r="B42" s="1" t="s">
        <v>15</v>
      </c>
      <c r="C42">
        <v>180</v>
      </c>
      <c r="D42">
        <v>202.5</v>
      </c>
      <c r="E42">
        <v>2</v>
      </c>
      <c r="F42">
        <v>2.5</v>
      </c>
      <c r="G42">
        <v>16</v>
      </c>
      <c r="H42">
        <v>18</v>
      </c>
      <c r="I42">
        <v>2.27566128032786</v>
      </c>
      <c r="J42">
        <v>16.902002347687102</v>
      </c>
      <c r="K42">
        <v>197.55069823922199</v>
      </c>
      <c r="L42">
        <v>1647</v>
      </c>
      <c r="M42" s="11">
        <f t="shared" si="2"/>
        <v>4.1151646440644937E-3</v>
      </c>
      <c r="N42" s="12">
        <f t="shared" si="3"/>
        <v>1.5020350950835402</v>
      </c>
    </row>
    <row r="43" spans="1:14" x14ac:dyDescent="0.3">
      <c r="A43" s="1">
        <v>42</v>
      </c>
      <c r="B43" s="1" t="s">
        <v>20</v>
      </c>
      <c r="C43">
        <v>292.5</v>
      </c>
      <c r="D43">
        <v>315</v>
      </c>
      <c r="E43">
        <v>1.5</v>
      </c>
      <c r="F43">
        <v>2</v>
      </c>
      <c r="G43">
        <v>18</v>
      </c>
      <c r="H43">
        <v>20</v>
      </c>
      <c r="I43">
        <v>1.7730099102706001</v>
      </c>
      <c r="J43">
        <v>19.291285987526798</v>
      </c>
      <c r="K43">
        <v>302.363468634686</v>
      </c>
      <c r="L43">
        <v>1626</v>
      </c>
      <c r="M43" s="11">
        <f t="shared" si="2"/>
        <v>4.0626944209161304E-3</v>
      </c>
      <c r="N43" s="12">
        <f t="shared" si="3"/>
        <v>1.4828834636343875</v>
      </c>
    </row>
    <row r="44" spans="1:14" x14ac:dyDescent="0.3">
      <c r="A44" s="1">
        <v>43</v>
      </c>
      <c r="B44" s="1" t="s">
        <v>15</v>
      </c>
      <c r="C44">
        <v>180</v>
      </c>
      <c r="D44">
        <v>202.5</v>
      </c>
      <c r="E44">
        <v>1.5</v>
      </c>
      <c r="F44">
        <v>2</v>
      </c>
      <c r="G44">
        <v>8</v>
      </c>
      <c r="H44">
        <v>10</v>
      </c>
      <c r="I44">
        <v>1.78101522468434</v>
      </c>
      <c r="J44">
        <v>9.2802151682450607</v>
      </c>
      <c r="K44">
        <v>186.41351010100999</v>
      </c>
      <c r="L44">
        <v>1584</v>
      </c>
      <c r="M44" s="11">
        <f t="shared" si="2"/>
        <v>3.9577539746194039E-3</v>
      </c>
      <c r="N44" s="12">
        <f t="shared" si="3"/>
        <v>1.4445802007360822</v>
      </c>
    </row>
    <row r="45" spans="1:14" x14ac:dyDescent="0.3">
      <c r="A45" s="1">
        <v>44</v>
      </c>
      <c r="B45" s="1" t="s">
        <v>16</v>
      </c>
      <c r="C45">
        <v>202.5</v>
      </c>
      <c r="D45">
        <v>225</v>
      </c>
      <c r="E45">
        <v>1</v>
      </c>
      <c r="F45">
        <v>1.5</v>
      </c>
      <c r="G45">
        <v>14</v>
      </c>
      <c r="H45">
        <v>16</v>
      </c>
      <c r="I45">
        <v>1.40918187370129</v>
      </c>
      <c r="J45">
        <v>14.832291866226401</v>
      </c>
      <c r="K45">
        <v>216.55389610389599</v>
      </c>
      <c r="L45">
        <v>1540</v>
      </c>
      <c r="M45" s="11">
        <f t="shared" si="2"/>
        <v>3.8478163642133088E-3</v>
      </c>
      <c r="N45" s="12">
        <f t="shared" si="3"/>
        <v>1.4044529729378579</v>
      </c>
    </row>
    <row r="46" spans="1:14" x14ac:dyDescent="0.3">
      <c r="A46" s="1">
        <v>45</v>
      </c>
      <c r="B46" s="1" t="s">
        <v>15</v>
      </c>
      <c r="C46">
        <v>180</v>
      </c>
      <c r="D46">
        <v>202.5</v>
      </c>
      <c r="E46">
        <v>3</v>
      </c>
      <c r="F46">
        <v>3.5</v>
      </c>
      <c r="G46">
        <v>14</v>
      </c>
      <c r="H46">
        <v>16</v>
      </c>
      <c r="I46">
        <v>3.17425566095176</v>
      </c>
      <c r="J46">
        <v>15.100530037665299</v>
      </c>
      <c r="K46">
        <v>198.71382007822601</v>
      </c>
      <c r="L46">
        <v>1534</v>
      </c>
      <c r="M46" s="11">
        <f t="shared" si="2"/>
        <v>3.832824871885205E-3</v>
      </c>
      <c r="N46" s="12">
        <f t="shared" si="3"/>
        <v>1.3989810782380998</v>
      </c>
    </row>
    <row r="47" spans="1:14" x14ac:dyDescent="0.3">
      <c r="A47" s="1">
        <v>46</v>
      </c>
      <c r="B47" s="1" t="s">
        <v>16</v>
      </c>
      <c r="C47">
        <v>202.5</v>
      </c>
      <c r="D47">
        <v>225</v>
      </c>
      <c r="E47">
        <v>2</v>
      </c>
      <c r="F47">
        <v>2.5</v>
      </c>
      <c r="G47">
        <v>10</v>
      </c>
      <c r="H47">
        <v>12</v>
      </c>
      <c r="I47">
        <v>2.1687126468562798</v>
      </c>
      <c r="J47">
        <v>11.609045856544499</v>
      </c>
      <c r="K47">
        <v>209.58907185628701</v>
      </c>
      <c r="L47">
        <v>1336</v>
      </c>
      <c r="M47" s="11">
        <f t="shared" si="2"/>
        <v>3.3381056250577799E-3</v>
      </c>
      <c r="N47" s="12">
        <f t="shared" si="3"/>
        <v>1.2184085531460895</v>
      </c>
    </row>
    <row r="48" spans="1:14" x14ac:dyDescent="0.3">
      <c r="A48" s="1">
        <v>47</v>
      </c>
      <c r="B48" s="1" t="s">
        <v>14</v>
      </c>
      <c r="C48">
        <v>157.5</v>
      </c>
      <c r="D48">
        <v>180</v>
      </c>
      <c r="E48">
        <v>2.5</v>
      </c>
      <c r="F48">
        <v>3</v>
      </c>
      <c r="G48">
        <v>8</v>
      </c>
      <c r="H48">
        <v>10</v>
      </c>
      <c r="I48">
        <v>2.7285186174718099</v>
      </c>
      <c r="J48">
        <v>8.7185899345004607</v>
      </c>
      <c r="K48">
        <v>177.26489533011201</v>
      </c>
      <c r="L48">
        <v>1242</v>
      </c>
      <c r="M48" s="11">
        <f t="shared" si="2"/>
        <v>3.1032389119174868E-3</v>
      </c>
      <c r="N48" s="12">
        <f t="shared" si="3"/>
        <v>1.1326822028498826</v>
      </c>
    </row>
    <row r="49" spans="1:14" x14ac:dyDescent="0.3">
      <c r="A49" s="1">
        <v>48</v>
      </c>
      <c r="B49" s="1" t="s">
        <v>19</v>
      </c>
      <c r="C49">
        <v>270</v>
      </c>
      <c r="D49">
        <v>292.5</v>
      </c>
      <c r="E49">
        <v>1.5</v>
      </c>
      <c r="F49">
        <v>2</v>
      </c>
      <c r="G49">
        <v>16</v>
      </c>
      <c r="H49">
        <v>18</v>
      </c>
      <c r="I49">
        <v>1.7656743274956199</v>
      </c>
      <c r="J49">
        <v>16.990395594014601</v>
      </c>
      <c r="K49">
        <v>283.52014010507799</v>
      </c>
      <c r="L49">
        <v>1142</v>
      </c>
      <c r="M49" s="11">
        <f t="shared" si="2"/>
        <v>2.8533807064490902E-3</v>
      </c>
      <c r="N49" s="12">
        <f t="shared" si="3"/>
        <v>1.0414839578539179</v>
      </c>
    </row>
    <row r="50" spans="1:14" x14ac:dyDescent="0.3">
      <c r="A50" s="1">
        <v>49</v>
      </c>
      <c r="B50" s="1" t="s">
        <v>15</v>
      </c>
      <c r="C50">
        <v>180</v>
      </c>
      <c r="D50">
        <v>202.5</v>
      </c>
      <c r="E50">
        <v>2.5</v>
      </c>
      <c r="F50">
        <v>3</v>
      </c>
      <c r="G50">
        <v>10</v>
      </c>
      <c r="H50">
        <v>12</v>
      </c>
      <c r="I50">
        <v>2.7143417787119799</v>
      </c>
      <c r="J50">
        <v>11.0117168468425</v>
      </c>
      <c r="K50">
        <v>189.363148479427</v>
      </c>
      <c r="L50">
        <v>1118</v>
      </c>
      <c r="M50" s="11">
        <f t="shared" si="2"/>
        <v>2.7934147371366748E-3</v>
      </c>
      <c r="N50" s="12">
        <f t="shared" si="3"/>
        <v>1.0195963790548863</v>
      </c>
    </row>
    <row r="51" spans="1:14" x14ac:dyDescent="0.3">
      <c r="A51" s="1">
        <v>50</v>
      </c>
      <c r="B51" s="1" t="s">
        <v>20</v>
      </c>
      <c r="C51">
        <v>292.5</v>
      </c>
      <c r="D51">
        <v>315</v>
      </c>
      <c r="E51">
        <v>2</v>
      </c>
      <c r="F51">
        <v>2.5</v>
      </c>
      <c r="G51">
        <v>16</v>
      </c>
      <c r="H51">
        <v>18</v>
      </c>
      <c r="I51">
        <v>2.1192035291746598</v>
      </c>
      <c r="J51">
        <v>17.35651588839</v>
      </c>
      <c r="K51">
        <v>300.01535508637198</v>
      </c>
      <c r="L51">
        <v>1042</v>
      </c>
      <c r="M51" s="11">
        <f t="shared" si="2"/>
        <v>2.6035225009806936E-3</v>
      </c>
      <c r="N51" s="12">
        <f t="shared" si="3"/>
        <v>0.95028571285795316</v>
      </c>
    </row>
    <row r="52" spans="1:14" x14ac:dyDescent="0.3">
      <c r="A52" s="1">
        <v>51</v>
      </c>
      <c r="B52" s="1" t="s">
        <v>18</v>
      </c>
      <c r="C52">
        <v>247.5</v>
      </c>
      <c r="D52">
        <v>270</v>
      </c>
      <c r="E52">
        <v>1.5</v>
      </c>
      <c r="F52">
        <v>2</v>
      </c>
      <c r="G52">
        <v>16</v>
      </c>
      <c r="H52">
        <v>18</v>
      </c>
      <c r="I52">
        <v>1.7757004764169999</v>
      </c>
      <c r="J52">
        <v>16.753144643910002</v>
      </c>
      <c r="K52">
        <v>258.65485829959499</v>
      </c>
      <c r="L52">
        <v>988</v>
      </c>
      <c r="M52" s="11">
        <f t="shared" si="2"/>
        <v>2.4685990700277593E-3</v>
      </c>
      <c r="N52" s="12">
        <f t="shared" si="3"/>
        <v>0.90103866056013215</v>
      </c>
    </row>
    <row r="53" spans="1:14" x14ac:dyDescent="0.3">
      <c r="A53" s="1">
        <v>52</v>
      </c>
      <c r="B53" s="1" t="s">
        <v>16</v>
      </c>
      <c r="C53">
        <v>202.5</v>
      </c>
      <c r="D53">
        <v>225</v>
      </c>
      <c r="E53">
        <v>3</v>
      </c>
      <c r="F53">
        <v>3.5</v>
      </c>
      <c r="G53">
        <v>18</v>
      </c>
      <c r="H53">
        <v>20</v>
      </c>
      <c r="I53">
        <v>3.2147863518248099</v>
      </c>
      <c r="J53">
        <v>18.980052518524399</v>
      </c>
      <c r="K53">
        <v>212.55787278414999</v>
      </c>
      <c r="L53">
        <v>959</v>
      </c>
      <c r="M53" s="11">
        <f t="shared" si="2"/>
        <v>2.3961401904419241E-3</v>
      </c>
      <c r="N53" s="12">
        <f t="shared" si="3"/>
        <v>0.87459116951130234</v>
      </c>
    </row>
    <row r="54" spans="1:14" x14ac:dyDescent="0.3">
      <c r="A54" s="1">
        <v>53</v>
      </c>
      <c r="B54" s="1" t="s">
        <v>14</v>
      </c>
      <c r="C54">
        <v>157.5</v>
      </c>
      <c r="D54">
        <v>180</v>
      </c>
      <c r="E54">
        <v>2</v>
      </c>
      <c r="F54">
        <v>2.5</v>
      </c>
      <c r="G54">
        <v>8</v>
      </c>
      <c r="H54">
        <v>10</v>
      </c>
      <c r="I54">
        <v>2.2803344714285698</v>
      </c>
      <c r="J54">
        <v>8.7410674713773098</v>
      </c>
      <c r="K54">
        <v>178.245502645502</v>
      </c>
      <c r="L54">
        <v>945</v>
      </c>
      <c r="M54" s="11">
        <f t="shared" si="2"/>
        <v>2.3611600416763487E-3</v>
      </c>
      <c r="N54" s="12">
        <f t="shared" si="3"/>
        <v>0.86182341521186723</v>
      </c>
    </row>
    <row r="55" spans="1:14" x14ac:dyDescent="0.3">
      <c r="A55" s="1">
        <v>54</v>
      </c>
      <c r="B55" s="1" t="s">
        <v>15</v>
      </c>
      <c r="C55">
        <v>180</v>
      </c>
      <c r="D55">
        <v>202.5</v>
      </c>
      <c r="E55">
        <v>3</v>
      </c>
      <c r="F55">
        <v>3.5</v>
      </c>
      <c r="G55">
        <v>16</v>
      </c>
      <c r="H55">
        <v>18</v>
      </c>
      <c r="I55">
        <v>3.2024749513129098</v>
      </c>
      <c r="J55">
        <v>16.9058166588392</v>
      </c>
      <c r="K55">
        <v>198.98577680525099</v>
      </c>
      <c r="L55">
        <v>914</v>
      </c>
      <c r="M55" s="11">
        <f t="shared" si="2"/>
        <v>2.2837039979811458E-3</v>
      </c>
      <c r="N55" s="12">
        <f t="shared" si="3"/>
        <v>0.8335519592631182</v>
      </c>
    </row>
    <row r="56" spans="1:14" x14ac:dyDescent="0.3">
      <c r="A56" s="1">
        <v>55</v>
      </c>
      <c r="B56" s="1" t="s">
        <v>17</v>
      </c>
      <c r="C56">
        <v>225</v>
      </c>
      <c r="D56">
        <v>247.5</v>
      </c>
      <c r="E56">
        <v>1</v>
      </c>
      <c r="F56">
        <v>1.5</v>
      </c>
      <c r="G56">
        <v>14</v>
      </c>
      <c r="H56">
        <v>16</v>
      </c>
      <c r="I56">
        <v>1.40958861639163</v>
      </c>
      <c r="J56">
        <v>14.7992175152129</v>
      </c>
      <c r="K56">
        <v>234.56325632563201</v>
      </c>
      <c r="L56">
        <v>909</v>
      </c>
      <c r="M56" s="11">
        <f t="shared" si="2"/>
        <v>2.271211087707726E-3</v>
      </c>
      <c r="N56" s="12">
        <f t="shared" si="3"/>
        <v>0.82899204701331997</v>
      </c>
    </row>
    <row r="57" spans="1:14" x14ac:dyDescent="0.3">
      <c r="A57" s="1">
        <v>56</v>
      </c>
      <c r="B57" s="1" t="s">
        <v>17</v>
      </c>
      <c r="C57">
        <v>225</v>
      </c>
      <c r="D57">
        <v>247.5</v>
      </c>
      <c r="E57">
        <v>2.5</v>
      </c>
      <c r="F57">
        <v>3</v>
      </c>
      <c r="G57">
        <v>14</v>
      </c>
      <c r="H57">
        <v>16</v>
      </c>
      <c r="I57">
        <v>2.6609536329646</v>
      </c>
      <c r="J57">
        <v>15.239803514515099</v>
      </c>
      <c r="K57">
        <v>229.23230088495501</v>
      </c>
      <c r="L57">
        <v>904</v>
      </c>
      <c r="M57" s="11">
        <f t="shared" si="2"/>
        <v>2.2587181774343062E-3</v>
      </c>
      <c r="N57" s="12">
        <f t="shared" si="3"/>
        <v>0.82443213476352173</v>
      </c>
    </row>
    <row r="58" spans="1:14" x14ac:dyDescent="0.3">
      <c r="A58" s="1">
        <v>57</v>
      </c>
      <c r="B58" s="1" t="s">
        <v>15</v>
      </c>
      <c r="C58">
        <v>180</v>
      </c>
      <c r="D58">
        <v>202.5</v>
      </c>
      <c r="E58">
        <v>1</v>
      </c>
      <c r="F58">
        <v>1.5</v>
      </c>
      <c r="G58">
        <v>10</v>
      </c>
      <c r="H58">
        <v>12</v>
      </c>
      <c r="I58">
        <v>1.4007509583634099</v>
      </c>
      <c r="J58">
        <v>10.946053346168</v>
      </c>
      <c r="K58">
        <v>196.81588447653399</v>
      </c>
      <c r="L58">
        <v>831</v>
      </c>
      <c r="M58" s="11">
        <f t="shared" si="2"/>
        <v>2.0763216874423764E-3</v>
      </c>
      <c r="N58" s="12">
        <f t="shared" si="3"/>
        <v>0.75785741591646738</v>
      </c>
    </row>
    <row r="59" spans="1:14" x14ac:dyDescent="0.3">
      <c r="A59" s="1">
        <v>58</v>
      </c>
      <c r="B59" s="1" t="s">
        <v>16</v>
      </c>
      <c r="C59">
        <v>202.5</v>
      </c>
      <c r="D59">
        <v>225</v>
      </c>
      <c r="E59">
        <v>3.5</v>
      </c>
      <c r="F59">
        <v>4</v>
      </c>
      <c r="G59">
        <v>14</v>
      </c>
      <c r="H59">
        <v>16</v>
      </c>
      <c r="I59">
        <v>3.6854187343787599</v>
      </c>
      <c r="J59">
        <v>15.180095962209201</v>
      </c>
      <c r="K59">
        <v>209.12545235223101</v>
      </c>
      <c r="L59">
        <v>829</v>
      </c>
      <c r="M59" s="11">
        <f t="shared" si="2"/>
        <v>2.0713245233330087E-3</v>
      </c>
      <c r="N59" s="12">
        <f t="shared" si="3"/>
        <v>0.75603345101654806</v>
      </c>
    </row>
    <row r="60" spans="1:14" x14ac:dyDescent="0.3">
      <c r="A60" s="1">
        <v>59</v>
      </c>
      <c r="B60" s="1" t="s">
        <v>17</v>
      </c>
      <c r="C60">
        <v>225</v>
      </c>
      <c r="D60">
        <v>247.5</v>
      </c>
      <c r="E60">
        <v>2.5</v>
      </c>
      <c r="F60">
        <v>3</v>
      </c>
      <c r="G60">
        <v>16</v>
      </c>
      <c r="H60">
        <v>18</v>
      </c>
      <c r="I60">
        <v>2.6794849109355998</v>
      </c>
      <c r="J60">
        <v>16.945132941833499</v>
      </c>
      <c r="K60">
        <v>230.379100850546</v>
      </c>
      <c r="L60">
        <v>823</v>
      </c>
      <c r="M60" s="11">
        <f t="shared" si="2"/>
        <v>2.0563330310049048E-3</v>
      </c>
      <c r="N60" s="12">
        <f t="shared" si="3"/>
        <v>0.75056155631679022</v>
      </c>
    </row>
    <row r="61" spans="1:14" x14ac:dyDescent="0.3">
      <c r="A61" s="1">
        <v>60</v>
      </c>
      <c r="B61" s="1" t="s">
        <v>15</v>
      </c>
      <c r="C61">
        <v>180</v>
      </c>
      <c r="D61">
        <v>202.5</v>
      </c>
      <c r="E61">
        <v>1.5</v>
      </c>
      <c r="F61">
        <v>2</v>
      </c>
      <c r="G61">
        <v>16</v>
      </c>
      <c r="H61">
        <v>18</v>
      </c>
      <c r="I61">
        <v>1.8152527030263099</v>
      </c>
      <c r="J61">
        <v>16.8969386846912</v>
      </c>
      <c r="K61">
        <v>196.48289473684201</v>
      </c>
      <c r="L61">
        <v>760</v>
      </c>
      <c r="M61" s="11">
        <f t="shared" si="2"/>
        <v>1.8989223615598148E-3</v>
      </c>
      <c r="N61" s="12">
        <f t="shared" si="3"/>
        <v>0.69310666196933235</v>
      </c>
    </row>
    <row r="62" spans="1:14" x14ac:dyDescent="0.3">
      <c r="A62" s="1">
        <v>61</v>
      </c>
      <c r="B62" s="1" t="s">
        <v>20</v>
      </c>
      <c r="C62">
        <v>292.5</v>
      </c>
      <c r="D62">
        <v>315</v>
      </c>
      <c r="E62">
        <v>1</v>
      </c>
      <c r="F62">
        <v>1.5</v>
      </c>
      <c r="G62">
        <v>16</v>
      </c>
      <c r="H62">
        <v>18</v>
      </c>
      <c r="I62">
        <v>1.37676296768211</v>
      </c>
      <c r="J62">
        <v>17.097298865532601</v>
      </c>
      <c r="K62">
        <v>300.778807947019</v>
      </c>
      <c r="L62">
        <v>755</v>
      </c>
      <c r="M62" s="11">
        <f t="shared" si="2"/>
        <v>1.886429451286395E-3</v>
      </c>
      <c r="N62" s="12">
        <f t="shared" si="3"/>
        <v>0.68854674971953411</v>
      </c>
    </row>
    <row r="63" spans="1:14" x14ac:dyDescent="0.3">
      <c r="A63" s="1">
        <v>62</v>
      </c>
      <c r="B63" s="1" t="s">
        <v>20</v>
      </c>
      <c r="C63">
        <v>292.5</v>
      </c>
      <c r="D63">
        <v>315</v>
      </c>
      <c r="E63">
        <v>2</v>
      </c>
      <c r="F63">
        <v>2.5</v>
      </c>
      <c r="G63">
        <v>18</v>
      </c>
      <c r="H63">
        <v>20</v>
      </c>
      <c r="I63">
        <v>2.1378243086551199</v>
      </c>
      <c r="J63">
        <v>19.286835999283799</v>
      </c>
      <c r="K63">
        <v>302.17043941411401</v>
      </c>
      <c r="L63">
        <v>751</v>
      </c>
      <c r="M63" s="11">
        <f t="shared" si="2"/>
        <v>1.876435123067659E-3</v>
      </c>
      <c r="N63" s="12">
        <f t="shared" si="3"/>
        <v>0.68489881991969559</v>
      </c>
    </row>
    <row r="64" spans="1:14" x14ac:dyDescent="0.3">
      <c r="A64" s="1">
        <v>63</v>
      </c>
      <c r="B64" s="1" t="s">
        <v>15</v>
      </c>
      <c r="C64">
        <v>180</v>
      </c>
      <c r="D64">
        <v>202.5</v>
      </c>
      <c r="E64">
        <v>3</v>
      </c>
      <c r="F64">
        <v>3.5</v>
      </c>
      <c r="G64">
        <v>8</v>
      </c>
      <c r="H64">
        <v>10</v>
      </c>
      <c r="I64">
        <v>3.20899068097166</v>
      </c>
      <c r="J64">
        <v>9.2918959843263291</v>
      </c>
      <c r="K64">
        <v>184.21997300944599</v>
      </c>
      <c r="L64">
        <v>741</v>
      </c>
      <c r="M64" s="11">
        <f t="shared" si="2"/>
        <v>1.8514493025208194E-3</v>
      </c>
      <c r="N64" s="12">
        <f t="shared" si="3"/>
        <v>0.67577899542009912</v>
      </c>
    </row>
    <row r="65" spans="1:14" x14ac:dyDescent="0.3">
      <c r="A65" s="1">
        <v>64</v>
      </c>
      <c r="B65" s="1" t="s">
        <v>14</v>
      </c>
      <c r="C65">
        <v>157.5</v>
      </c>
      <c r="D65">
        <v>180</v>
      </c>
      <c r="E65">
        <v>2</v>
      </c>
      <c r="F65">
        <v>2.5</v>
      </c>
      <c r="G65">
        <v>6</v>
      </c>
      <c r="H65">
        <v>8</v>
      </c>
      <c r="I65">
        <v>2.2411282794871799</v>
      </c>
      <c r="J65">
        <v>7.4756036802023598</v>
      </c>
      <c r="K65">
        <v>176.84188034188</v>
      </c>
      <c r="L65">
        <v>702</v>
      </c>
      <c r="M65" s="11">
        <f t="shared" si="2"/>
        <v>1.7540046023881448E-3</v>
      </c>
      <c r="N65" s="12">
        <f t="shared" si="3"/>
        <v>0.64021167987167282</v>
      </c>
    </row>
    <row r="66" spans="1:14" x14ac:dyDescent="0.3">
      <c r="A66" s="1">
        <v>65</v>
      </c>
      <c r="B66" s="1" t="s">
        <v>16</v>
      </c>
      <c r="C66">
        <v>202.5</v>
      </c>
      <c r="D66">
        <v>225</v>
      </c>
      <c r="E66">
        <v>2</v>
      </c>
      <c r="F66">
        <v>2.5</v>
      </c>
      <c r="G66">
        <v>20</v>
      </c>
      <c r="H66">
        <v>22</v>
      </c>
      <c r="I66">
        <v>2.2182605658465899</v>
      </c>
      <c r="J66">
        <v>21.130831587285499</v>
      </c>
      <c r="K66">
        <v>216.536903039073</v>
      </c>
      <c r="L66">
        <v>691</v>
      </c>
      <c r="M66" s="11">
        <f t="shared" si="2"/>
        <v>1.7265201997866211E-3</v>
      </c>
      <c r="N66" s="12">
        <f t="shared" si="3"/>
        <v>0.63017987292211675</v>
      </c>
    </row>
    <row r="67" spans="1:14" x14ac:dyDescent="0.3">
      <c r="A67" s="1">
        <v>66</v>
      </c>
      <c r="B67" s="1" t="s">
        <v>19</v>
      </c>
      <c r="C67">
        <v>270</v>
      </c>
      <c r="D67">
        <v>292.5</v>
      </c>
      <c r="E67">
        <v>1</v>
      </c>
      <c r="F67">
        <v>1.5</v>
      </c>
      <c r="G67">
        <v>14</v>
      </c>
      <c r="H67">
        <v>16</v>
      </c>
      <c r="I67">
        <v>1.3744269182089499</v>
      </c>
      <c r="J67">
        <v>14.8804685820778</v>
      </c>
      <c r="K67">
        <v>282.85671641790998</v>
      </c>
      <c r="L67">
        <v>670</v>
      </c>
      <c r="M67" s="11">
        <f t="shared" ref="M67:M130" si="4">L67/$P$2</f>
        <v>1.6740499766382578E-3</v>
      </c>
      <c r="N67" s="12">
        <f t="shared" ref="N67:N130" si="5">(365*L67)/$P$2</f>
        <v>0.61102824147296408</v>
      </c>
    </row>
    <row r="68" spans="1:14" x14ac:dyDescent="0.3">
      <c r="A68" s="1">
        <v>67</v>
      </c>
      <c r="B68" s="1" t="s">
        <v>19</v>
      </c>
      <c r="C68">
        <v>270</v>
      </c>
      <c r="D68">
        <v>292.5</v>
      </c>
      <c r="E68">
        <v>2</v>
      </c>
      <c r="F68">
        <v>2.5</v>
      </c>
      <c r="G68">
        <v>16</v>
      </c>
      <c r="H68">
        <v>18</v>
      </c>
      <c r="I68">
        <v>2.1640800728</v>
      </c>
      <c r="J68">
        <v>17.2106358384227</v>
      </c>
      <c r="K68">
        <v>282.16800000000001</v>
      </c>
      <c r="L68">
        <v>625</v>
      </c>
      <c r="M68" s="11">
        <f t="shared" si="4"/>
        <v>1.5616137841774794E-3</v>
      </c>
      <c r="N68" s="12">
        <f t="shared" si="5"/>
        <v>0.56998903122477995</v>
      </c>
    </row>
    <row r="69" spans="1:14" x14ac:dyDescent="0.3">
      <c r="A69" s="1">
        <v>68</v>
      </c>
      <c r="B69" s="1" t="s">
        <v>18</v>
      </c>
      <c r="C69">
        <v>247.5</v>
      </c>
      <c r="D69">
        <v>270</v>
      </c>
      <c r="E69">
        <v>2</v>
      </c>
      <c r="F69">
        <v>2.5</v>
      </c>
      <c r="G69">
        <v>14</v>
      </c>
      <c r="H69">
        <v>16</v>
      </c>
      <c r="I69">
        <v>2.1454708532467501</v>
      </c>
      <c r="J69">
        <v>15.3714671517191</v>
      </c>
      <c r="K69">
        <v>257.35227272727201</v>
      </c>
      <c r="L69">
        <v>616</v>
      </c>
      <c r="M69" s="11">
        <f t="shared" si="4"/>
        <v>1.5391265456853236E-3</v>
      </c>
      <c r="N69" s="12">
        <f t="shared" si="5"/>
        <v>0.56178118917514308</v>
      </c>
    </row>
    <row r="70" spans="1:14" x14ac:dyDescent="0.3">
      <c r="A70" s="1">
        <v>69</v>
      </c>
      <c r="B70" s="1" t="s">
        <v>20</v>
      </c>
      <c r="C70">
        <v>292.5</v>
      </c>
      <c r="D70">
        <v>315</v>
      </c>
      <c r="E70">
        <v>1</v>
      </c>
      <c r="F70">
        <v>1.5</v>
      </c>
      <c r="G70">
        <v>14</v>
      </c>
      <c r="H70">
        <v>16</v>
      </c>
      <c r="I70">
        <v>1.3790366034883701</v>
      </c>
      <c r="J70">
        <v>15.2012067432628</v>
      </c>
      <c r="K70">
        <v>298.64784053156097</v>
      </c>
      <c r="L70">
        <v>602</v>
      </c>
      <c r="M70" s="11">
        <f t="shared" si="4"/>
        <v>1.504146396919748E-3</v>
      </c>
      <c r="N70" s="12">
        <f t="shared" si="5"/>
        <v>0.54901343487570808</v>
      </c>
    </row>
    <row r="71" spans="1:14" x14ac:dyDescent="0.3">
      <c r="A71" s="1">
        <v>70</v>
      </c>
      <c r="B71" s="1" t="s">
        <v>16</v>
      </c>
      <c r="C71">
        <v>202.5</v>
      </c>
      <c r="D71">
        <v>225</v>
      </c>
      <c r="E71">
        <v>1</v>
      </c>
      <c r="F71">
        <v>1.5</v>
      </c>
      <c r="G71">
        <v>16</v>
      </c>
      <c r="H71">
        <v>18</v>
      </c>
      <c r="I71">
        <v>1.3961381030302999</v>
      </c>
      <c r="J71">
        <v>16.860229456216999</v>
      </c>
      <c r="K71">
        <v>217.78787878787799</v>
      </c>
      <c r="L71">
        <v>594</v>
      </c>
      <c r="M71" s="11">
        <f t="shared" si="4"/>
        <v>1.4841577404822762E-3</v>
      </c>
      <c r="N71" s="12">
        <f t="shared" si="5"/>
        <v>0.54171757527603082</v>
      </c>
    </row>
    <row r="72" spans="1:14" x14ac:dyDescent="0.3">
      <c r="A72" s="1">
        <v>71</v>
      </c>
      <c r="B72" s="1" t="s">
        <v>14</v>
      </c>
      <c r="C72">
        <v>157.5</v>
      </c>
      <c r="D72">
        <v>180</v>
      </c>
      <c r="E72">
        <v>3</v>
      </c>
      <c r="F72">
        <v>3.5</v>
      </c>
      <c r="G72">
        <v>8</v>
      </c>
      <c r="H72">
        <v>10</v>
      </c>
      <c r="I72">
        <v>3.2174403936860001</v>
      </c>
      <c r="J72">
        <v>8.9648704339388097</v>
      </c>
      <c r="K72">
        <v>177.17406143344701</v>
      </c>
      <c r="L72">
        <v>586</v>
      </c>
      <c r="M72" s="11">
        <f t="shared" si="4"/>
        <v>1.4641690840448045E-3</v>
      </c>
      <c r="N72" s="12">
        <f t="shared" si="5"/>
        <v>0.53442171567635366</v>
      </c>
    </row>
    <row r="73" spans="1:14" x14ac:dyDescent="0.3">
      <c r="A73" s="1">
        <v>72</v>
      </c>
      <c r="B73" s="1" t="s">
        <v>16</v>
      </c>
      <c r="C73">
        <v>202.5</v>
      </c>
      <c r="D73">
        <v>225</v>
      </c>
      <c r="E73">
        <v>3</v>
      </c>
      <c r="F73">
        <v>3.5</v>
      </c>
      <c r="G73">
        <v>12</v>
      </c>
      <c r="H73">
        <v>14</v>
      </c>
      <c r="I73">
        <v>3.1664278483168302</v>
      </c>
      <c r="J73">
        <v>13.347987651012399</v>
      </c>
      <c r="K73">
        <v>208.99801980198001</v>
      </c>
      <c r="L73">
        <v>505</v>
      </c>
      <c r="M73" s="11">
        <f t="shared" si="4"/>
        <v>1.2617839376154033E-3</v>
      </c>
      <c r="N73" s="12">
        <f t="shared" si="5"/>
        <v>0.46055113722962221</v>
      </c>
    </row>
    <row r="74" spans="1:14" x14ac:dyDescent="0.3">
      <c r="A74" s="1">
        <v>73</v>
      </c>
      <c r="B74" s="1" t="s">
        <v>18</v>
      </c>
      <c r="C74">
        <v>247.5</v>
      </c>
      <c r="D74">
        <v>270</v>
      </c>
      <c r="E74">
        <v>1</v>
      </c>
      <c r="F74">
        <v>1.5</v>
      </c>
      <c r="G74">
        <v>14</v>
      </c>
      <c r="H74">
        <v>16</v>
      </c>
      <c r="I74">
        <v>1.3792097308467699</v>
      </c>
      <c r="J74">
        <v>14.6790046805129</v>
      </c>
      <c r="K74">
        <v>259.056451612903</v>
      </c>
      <c r="L74">
        <v>496</v>
      </c>
      <c r="M74" s="11">
        <f t="shared" si="4"/>
        <v>1.2392966991232475E-3</v>
      </c>
      <c r="N74" s="12">
        <f t="shared" si="5"/>
        <v>0.45234329517998534</v>
      </c>
    </row>
    <row r="75" spans="1:14" x14ac:dyDescent="0.3">
      <c r="A75" s="1">
        <v>74</v>
      </c>
      <c r="B75" s="1" t="s">
        <v>15</v>
      </c>
      <c r="C75">
        <v>180</v>
      </c>
      <c r="D75">
        <v>202.5</v>
      </c>
      <c r="E75">
        <v>3</v>
      </c>
      <c r="F75">
        <v>3.5</v>
      </c>
      <c r="G75">
        <v>12</v>
      </c>
      <c r="H75">
        <v>14</v>
      </c>
      <c r="I75">
        <v>3.1629938665970698</v>
      </c>
      <c r="J75">
        <v>13.1593967043869</v>
      </c>
      <c r="K75">
        <v>196.194154488517</v>
      </c>
      <c r="L75">
        <v>479</v>
      </c>
      <c r="M75" s="11">
        <f t="shared" si="4"/>
        <v>1.19682080419362E-3</v>
      </c>
      <c r="N75" s="12">
        <f t="shared" si="5"/>
        <v>0.43683959353067137</v>
      </c>
    </row>
    <row r="76" spans="1:14" x14ac:dyDescent="0.3">
      <c r="A76" s="1">
        <v>75</v>
      </c>
      <c r="B76" s="1" t="s">
        <v>16</v>
      </c>
      <c r="C76">
        <v>202.5</v>
      </c>
      <c r="D76">
        <v>225</v>
      </c>
      <c r="E76">
        <v>1.5</v>
      </c>
      <c r="F76">
        <v>2</v>
      </c>
      <c r="G76">
        <v>20</v>
      </c>
      <c r="H76">
        <v>22</v>
      </c>
      <c r="I76">
        <v>1.8438556995753701</v>
      </c>
      <c r="J76">
        <v>21.187104281487699</v>
      </c>
      <c r="K76">
        <v>216.36942675159199</v>
      </c>
      <c r="L76">
        <v>471</v>
      </c>
      <c r="M76" s="11">
        <f t="shared" si="4"/>
        <v>1.1768321477561483E-3</v>
      </c>
      <c r="N76" s="12">
        <f t="shared" si="5"/>
        <v>0.42954373393099415</v>
      </c>
    </row>
    <row r="77" spans="1:14" x14ac:dyDescent="0.3">
      <c r="A77" s="1">
        <v>76</v>
      </c>
      <c r="B77" s="1" t="s">
        <v>20</v>
      </c>
      <c r="C77">
        <v>292.5</v>
      </c>
      <c r="D77">
        <v>315</v>
      </c>
      <c r="E77">
        <v>1.5</v>
      </c>
      <c r="F77">
        <v>2</v>
      </c>
      <c r="G77">
        <v>20</v>
      </c>
      <c r="H77">
        <v>22</v>
      </c>
      <c r="I77">
        <v>1.7526667418803401</v>
      </c>
      <c r="J77">
        <v>21.262174208156502</v>
      </c>
      <c r="K77">
        <v>303.15170940170901</v>
      </c>
      <c r="L77">
        <v>468</v>
      </c>
      <c r="M77" s="11">
        <f t="shared" si="4"/>
        <v>1.1693364015920966E-3</v>
      </c>
      <c r="N77" s="12">
        <f t="shared" si="5"/>
        <v>0.42680778658111523</v>
      </c>
    </row>
    <row r="78" spans="1:14" x14ac:dyDescent="0.3">
      <c r="A78" s="1">
        <v>77</v>
      </c>
      <c r="B78" s="1" t="s">
        <v>15</v>
      </c>
      <c r="C78">
        <v>180</v>
      </c>
      <c r="D78">
        <v>202.5</v>
      </c>
      <c r="E78">
        <v>2.5</v>
      </c>
      <c r="F78">
        <v>3</v>
      </c>
      <c r="G78">
        <v>18</v>
      </c>
      <c r="H78">
        <v>20</v>
      </c>
      <c r="I78">
        <v>2.7565734616252802</v>
      </c>
      <c r="J78">
        <v>18.974990323434302</v>
      </c>
      <c r="K78">
        <v>197.69300225733599</v>
      </c>
      <c r="L78">
        <v>443</v>
      </c>
      <c r="M78" s="11">
        <f t="shared" si="4"/>
        <v>1.1068718502249973E-3</v>
      </c>
      <c r="N78" s="12">
        <f t="shared" si="5"/>
        <v>0.40400822533212399</v>
      </c>
    </row>
    <row r="79" spans="1:14" x14ac:dyDescent="0.3">
      <c r="A79" s="1">
        <v>78</v>
      </c>
      <c r="B79" s="1" t="s">
        <v>18</v>
      </c>
      <c r="C79">
        <v>247.5</v>
      </c>
      <c r="D79">
        <v>270</v>
      </c>
      <c r="E79">
        <v>2</v>
      </c>
      <c r="F79">
        <v>2.5</v>
      </c>
      <c r="G79">
        <v>16</v>
      </c>
      <c r="H79">
        <v>18</v>
      </c>
      <c r="I79">
        <v>2.1955963147887299</v>
      </c>
      <c r="J79">
        <v>16.8737902594162</v>
      </c>
      <c r="K79">
        <v>258.85680751173697</v>
      </c>
      <c r="L79">
        <v>426</v>
      </c>
      <c r="M79" s="11">
        <f t="shared" si="4"/>
        <v>1.0643959552953698E-3</v>
      </c>
      <c r="N79" s="12">
        <f t="shared" si="5"/>
        <v>0.38850452368281002</v>
      </c>
    </row>
    <row r="80" spans="1:14" x14ac:dyDescent="0.3">
      <c r="A80" s="1">
        <v>79</v>
      </c>
      <c r="B80" s="1" t="s">
        <v>16</v>
      </c>
      <c r="C80">
        <v>202.5</v>
      </c>
      <c r="D80">
        <v>225</v>
      </c>
      <c r="E80">
        <v>3.5</v>
      </c>
      <c r="F80">
        <v>4</v>
      </c>
      <c r="G80">
        <v>18</v>
      </c>
      <c r="H80">
        <v>20</v>
      </c>
      <c r="I80">
        <v>3.6990307545882302</v>
      </c>
      <c r="J80">
        <v>18.866179789817899</v>
      </c>
      <c r="K80">
        <v>211.256470588235</v>
      </c>
      <c r="L80">
        <v>425</v>
      </c>
      <c r="M80" s="11">
        <f t="shared" si="4"/>
        <v>1.061897373240686E-3</v>
      </c>
      <c r="N80" s="12">
        <f t="shared" si="5"/>
        <v>0.38759254123285036</v>
      </c>
    </row>
    <row r="81" spans="1:14" x14ac:dyDescent="0.3">
      <c r="A81" s="1">
        <v>80</v>
      </c>
      <c r="B81" s="1" t="s">
        <v>17</v>
      </c>
      <c r="C81">
        <v>225</v>
      </c>
      <c r="D81">
        <v>247.5</v>
      </c>
      <c r="E81">
        <v>2</v>
      </c>
      <c r="F81">
        <v>2.5</v>
      </c>
      <c r="G81">
        <v>18</v>
      </c>
      <c r="H81">
        <v>20</v>
      </c>
      <c r="I81">
        <v>2.2502359162735801</v>
      </c>
      <c r="J81">
        <v>19.108685149418498</v>
      </c>
      <c r="K81">
        <v>230.73349056603701</v>
      </c>
      <c r="L81">
        <v>424</v>
      </c>
      <c r="M81" s="11">
        <f t="shared" si="4"/>
        <v>1.0593987911860019E-3</v>
      </c>
      <c r="N81" s="12">
        <f t="shared" si="5"/>
        <v>0.3866805587828907</v>
      </c>
    </row>
    <row r="82" spans="1:14" x14ac:dyDescent="0.3">
      <c r="A82" s="1">
        <v>81</v>
      </c>
      <c r="B82" s="1" t="s">
        <v>17</v>
      </c>
      <c r="C82">
        <v>225</v>
      </c>
      <c r="D82">
        <v>247.5</v>
      </c>
      <c r="E82">
        <v>1.5</v>
      </c>
      <c r="F82">
        <v>2</v>
      </c>
      <c r="G82">
        <v>10</v>
      </c>
      <c r="H82">
        <v>12</v>
      </c>
      <c r="I82">
        <v>1.6691563985111599</v>
      </c>
      <c r="J82">
        <v>11.690269036648401</v>
      </c>
      <c r="K82">
        <v>228.888337468982</v>
      </c>
      <c r="L82">
        <v>403</v>
      </c>
      <c r="M82" s="11">
        <f t="shared" si="4"/>
        <v>1.0069285680376387E-3</v>
      </c>
      <c r="N82" s="12">
        <f t="shared" si="5"/>
        <v>0.3675289273337381</v>
      </c>
    </row>
    <row r="83" spans="1:14" x14ac:dyDescent="0.3">
      <c r="A83" s="1">
        <v>82</v>
      </c>
      <c r="B83" s="1" t="s">
        <v>14</v>
      </c>
      <c r="C83">
        <v>157.5</v>
      </c>
      <c r="D83">
        <v>180</v>
      </c>
      <c r="E83">
        <v>1.5</v>
      </c>
      <c r="F83">
        <v>2</v>
      </c>
      <c r="G83">
        <v>8</v>
      </c>
      <c r="H83">
        <v>10</v>
      </c>
      <c r="I83">
        <v>1.7949327418952601</v>
      </c>
      <c r="J83">
        <v>9.2477847763208398</v>
      </c>
      <c r="K83">
        <v>178.63840399002399</v>
      </c>
      <c r="L83">
        <v>401</v>
      </c>
      <c r="M83" s="11">
        <f t="shared" si="4"/>
        <v>1.0019314039282708E-3</v>
      </c>
      <c r="N83" s="12">
        <f t="shared" si="5"/>
        <v>0.36570496243381878</v>
      </c>
    </row>
    <row r="84" spans="1:14" x14ac:dyDescent="0.3">
      <c r="A84" s="1">
        <v>83</v>
      </c>
      <c r="B84" s="1" t="s">
        <v>15</v>
      </c>
      <c r="C84">
        <v>180</v>
      </c>
      <c r="D84">
        <v>202.5</v>
      </c>
      <c r="E84">
        <v>1</v>
      </c>
      <c r="F84">
        <v>1.5</v>
      </c>
      <c r="G84">
        <v>12</v>
      </c>
      <c r="H84">
        <v>14</v>
      </c>
      <c r="I84">
        <v>1.39561762842377</v>
      </c>
      <c r="J84">
        <v>12.5661797017449</v>
      </c>
      <c r="K84">
        <v>197.86046511627899</v>
      </c>
      <c r="L84">
        <v>387</v>
      </c>
      <c r="M84" s="11">
        <f t="shared" si="4"/>
        <v>9.6695125516269519E-4</v>
      </c>
      <c r="N84" s="12">
        <f t="shared" si="5"/>
        <v>0.35293720813438373</v>
      </c>
    </row>
    <row r="85" spans="1:14" x14ac:dyDescent="0.3">
      <c r="A85" s="1">
        <v>84</v>
      </c>
      <c r="B85" s="1" t="s">
        <v>15</v>
      </c>
      <c r="C85">
        <v>180</v>
      </c>
      <c r="D85">
        <v>202.5</v>
      </c>
      <c r="E85">
        <v>3</v>
      </c>
      <c r="F85">
        <v>3.5</v>
      </c>
      <c r="G85">
        <v>10</v>
      </c>
      <c r="H85">
        <v>12</v>
      </c>
      <c r="I85">
        <v>3.2315793410389602</v>
      </c>
      <c r="J85">
        <v>10.8302774053696</v>
      </c>
      <c r="K85">
        <v>187.883116883116</v>
      </c>
      <c r="L85">
        <v>385</v>
      </c>
      <c r="M85" s="11">
        <f t="shared" si="4"/>
        <v>9.619540910533272E-4</v>
      </c>
      <c r="N85" s="12">
        <f t="shared" si="5"/>
        <v>0.35111324323446447</v>
      </c>
    </row>
    <row r="86" spans="1:14" x14ac:dyDescent="0.3">
      <c r="A86" s="1">
        <v>85</v>
      </c>
      <c r="B86" s="1" t="s">
        <v>15</v>
      </c>
      <c r="C86">
        <v>180</v>
      </c>
      <c r="D86">
        <v>202.5</v>
      </c>
      <c r="E86">
        <v>3.5</v>
      </c>
      <c r="F86">
        <v>4</v>
      </c>
      <c r="G86">
        <v>14</v>
      </c>
      <c r="H86">
        <v>16</v>
      </c>
      <c r="I86">
        <v>3.7095889014084502</v>
      </c>
      <c r="J86">
        <v>15.0607692780482</v>
      </c>
      <c r="K86">
        <v>199.16338028169</v>
      </c>
      <c r="L86">
        <v>355</v>
      </c>
      <c r="M86" s="11">
        <f t="shared" si="4"/>
        <v>8.8699662941280825E-4</v>
      </c>
      <c r="N86" s="12">
        <f t="shared" si="5"/>
        <v>0.32375376973567499</v>
      </c>
    </row>
    <row r="87" spans="1:14" x14ac:dyDescent="0.3">
      <c r="A87" s="1">
        <v>86</v>
      </c>
      <c r="B87" s="1" t="s">
        <v>17</v>
      </c>
      <c r="C87">
        <v>225</v>
      </c>
      <c r="D87">
        <v>247.5</v>
      </c>
      <c r="E87">
        <v>1</v>
      </c>
      <c r="F87">
        <v>1.5</v>
      </c>
      <c r="G87">
        <v>10</v>
      </c>
      <c r="H87">
        <v>12</v>
      </c>
      <c r="I87">
        <v>1.34568213872832</v>
      </c>
      <c r="J87">
        <v>11.559064295427699</v>
      </c>
      <c r="K87">
        <v>230.364161849711</v>
      </c>
      <c r="L87">
        <v>346</v>
      </c>
      <c r="M87" s="11">
        <f t="shared" si="4"/>
        <v>8.6450939092065258E-4</v>
      </c>
      <c r="N87" s="12">
        <f t="shared" si="5"/>
        <v>0.31554592768603817</v>
      </c>
    </row>
    <row r="88" spans="1:14" x14ac:dyDescent="0.3">
      <c r="A88" s="1">
        <v>87</v>
      </c>
      <c r="B88" s="1" t="s">
        <v>15</v>
      </c>
      <c r="C88">
        <v>180</v>
      </c>
      <c r="D88">
        <v>202.5</v>
      </c>
      <c r="E88">
        <v>1</v>
      </c>
      <c r="F88">
        <v>1.5</v>
      </c>
      <c r="G88">
        <v>8</v>
      </c>
      <c r="H88">
        <v>10</v>
      </c>
      <c r="I88">
        <v>1.36574409761904</v>
      </c>
      <c r="J88">
        <v>9.5483001964160596</v>
      </c>
      <c r="K88">
        <v>192.267857142857</v>
      </c>
      <c r="L88">
        <v>336</v>
      </c>
      <c r="M88" s="11">
        <f t="shared" si="4"/>
        <v>8.3952357037381286E-4</v>
      </c>
      <c r="N88" s="12">
        <f t="shared" si="5"/>
        <v>0.3064261031864417</v>
      </c>
    </row>
    <row r="89" spans="1:14" x14ac:dyDescent="0.3">
      <c r="A89" s="1">
        <v>88</v>
      </c>
      <c r="B89" s="1" t="s">
        <v>15</v>
      </c>
      <c r="C89">
        <v>180</v>
      </c>
      <c r="D89">
        <v>202.5</v>
      </c>
      <c r="E89">
        <v>2</v>
      </c>
      <c r="F89">
        <v>2.5</v>
      </c>
      <c r="G89">
        <v>6</v>
      </c>
      <c r="H89">
        <v>8</v>
      </c>
      <c r="I89">
        <v>2.2238329080597001</v>
      </c>
      <c r="J89">
        <v>7.7614474292264699</v>
      </c>
      <c r="K89">
        <v>183.46268656716401</v>
      </c>
      <c r="L89">
        <v>335</v>
      </c>
      <c r="M89" s="11">
        <f t="shared" si="4"/>
        <v>8.3702498831912892E-4</v>
      </c>
      <c r="N89" s="12">
        <f t="shared" si="5"/>
        <v>0.30551412073648204</v>
      </c>
    </row>
    <row r="90" spans="1:14" x14ac:dyDescent="0.3">
      <c r="A90" s="1">
        <v>89</v>
      </c>
      <c r="B90" s="1" t="s">
        <v>15</v>
      </c>
      <c r="C90">
        <v>180</v>
      </c>
      <c r="D90">
        <v>202.5</v>
      </c>
      <c r="E90">
        <v>2</v>
      </c>
      <c r="F90">
        <v>2.5</v>
      </c>
      <c r="G90">
        <v>18</v>
      </c>
      <c r="H90">
        <v>20</v>
      </c>
      <c r="I90">
        <v>2.2530123420245398</v>
      </c>
      <c r="J90">
        <v>19.1275723542809</v>
      </c>
      <c r="K90">
        <v>197.57668711656399</v>
      </c>
      <c r="L90">
        <v>326</v>
      </c>
      <c r="M90" s="11">
        <f t="shared" si="4"/>
        <v>8.1453774982697324E-4</v>
      </c>
      <c r="N90" s="12">
        <f t="shared" si="5"/>
        <v>0.29730627868684523</v>
      </c>
    </row>
    <row r="91" spans="1:14" x14ac:dyDescent="0.3">
      <c r="A91" s="1">
        <v>90</v>
      </c>
      <c r="B91" s="1" t="s">
        <v>17</v>
      </c>
      <c r="C91">
        <v>225</v>
      </c>
      <c r="D91">
        <v>247.5</v>
      </c>
      <c r="E91">
        <v>1</v>
      </c>
      <c r="F91">
        <v>1.5</v>
      </c>
      <c r="G91">
        <v>16</v>
      </c>
      <c r="H91">
        <v>18</v>
      </c>
      <c r="I91">
        <v>1.39213885520504</v>
      </c>
      <c r="J91">
        <v>16.800767269452201</v>
      </c>
      <c r="K91">
        <v>232.89274447949501</v>
      </c>
      <c r="L91">
        <v>317</v>
      </c>
      <c r="M91" s="11">
        <f t="shared" si="4"/>
        <v>7.9205051133481746E-4</v>
      </c>
      <c r="N91" s="12">
        <f t="shared" si="5"/>
        <v>0.28909843663720841</v>
      </c>
    </row>
    <row r="92" spans="1:14" x14ac:dyDescent="0.3">
      <c r="A92" s="1">
        <v>91</v>
      </c>
      <c r="B92" s="1" t="s">
        <v>16</v>
      </c>
      <c r="C92">
        <v>202.5</v>
      </c>
      <c r="D92">
        <v>225</v>
      </c>
      <c r="E92">
        <v>2.5</v>
      </c>
      <c r="F92">
        <v>3</v>
      </c>
      <c r="G92">
        <v>20</v>
      </c>
      <c r="H92">
        <v>22</v>
      </c>
      <c r="I92">
        <v>2.7002509250825</v>
      </c>
      <c r="J92">
        <v>21.0575670011124</v>
      </c>
      <c r="K92">
        <v>215.44224422442201</v>
      </c>
      <c r="L92">
        <v>303</v>
      </c>
      <c r="M92" s="11">
        <f t="shared" si="4"/>
        <v>7.5707036256924198E-4</v>
      </c>
      <c r="N92" s="12">
        <f t="shared" si="5"/>
        <v>0.2763306823377733</v>
      </c>
    </row>
    <row r="93" spans="1:14" x14ac:dyDescent="0.3">
      <c r="A93" s="1">
        <v>92</v>
      </c>
      <c r="B93" s="1" t="s">
        <v>14</v>
      </c>
      <c r="C93">
        <v>157.5</v>
      </c>
      <c r="D93">
        <v>180</v>
      </c>
      <c r="E93">
        <v>2.5</v>
      </c>
      <c r="F93">
        <v>3</v>
      </c>
      <c r="G93">
        <v>6</v>
      </c>
      <c r="H93">
        <v>8</v>
      </c>
      <c r="I93">
        <v>2.7057616725165499</v>
      </c>
      <c r="J93">
        <v>7.6739804079190996</v>
      </c>
      <c r="K93">
        <v>176.417218543046</v>
      </c>
      <c r="L93">
        <v>302</v>
      </c>
      <c r="M93" s="11">
        <f t="shared" si="4"/>
        <v>7.5457178051455804E-4</v>
      </c>
      <c r="N93" s="12">
        <f t="shared" si="5"/>
        <v>0.27541869988781364</v>
      </c>
    </row>
    <row r="94" spans="1:14" x14ac:dyDescent="0.3">
      <c r="A94" s="1">
        <v>93</v>
      </c>
      <c r="B94" s="1" t="s">
        <v>15</v>
      </c>
      <c r="C94">
        <v>180</v>
      </c>
      <c r="D94">
        <v>202.5</v>
      </c>
      <c r="E94">
        <v>3.5</v>
      </c>
      <c r="F94">
        <v>4</v>
      </c>
      <c r="G94">
        <v>16</v>
      </c>
      <c r="H94">
        <v>18</v>
      </c>
      <c r="I94">
        <v>3.7036001627586201</v>
      </c>
      <c r="J94">
        <v>17.068577699664001</v>
      </c>
      <c r="K94">
        <v>199.66551724137901</v>
      </c>
      <c r="L94">
        <v>290</v>
      </c>
      <c r="M94" s="11">
        <f t="shared" si="4"/>
        <v>7.2458879585835044E-4</v>
      </c>
      <c r="N94" s="12">
        <f t="shared" si="5"/>
        <v>0.26447491048829791</v>
      </c>
    </row>
    <row r="95" spans="1:14" x14ac:dyDescent="0.3">
      <c r="A95" s="1">
        <v>94</v>
      </c>
      <c r="B95" s="1" t="s">
        <v>17</v>
      </c>
      <c r="C95">
        <v>225</v>
      </c>
      <c r="D95">
        <v>247.5</v>
      </c>
      <c r="E95">
        <v>1.5</v>
      </c>
      <c r="F95">
        <v>2</v>
      </c>
      <c r="G95">
        <v>18</v>
      </c>
      <c r="H95">
        <v>20</v>
      </c>
      <c r="I95">
        <v>1.7972941903114099</v>
      </c>
      <c r="J95">
        <v>19.0666260784202</v>
      </c>
      <c r="K95">
        <v>231.702422145328</v>
      </c>
      <c r="L95">
        <v>289</v>
      </c>
      <c r="M95" s="11">
        <f t="shared" si="4"/>
        <v>7.2209021380366639E-4</v>
      </c>
      <c r="N95" s="12">
        <f t="shared" si="5"/>
        <v>0.26356292803833825</v>
      </c>
    </row>
    <row r="96" spans="1:14" x14ac:dyDescent="0.3">
      <c r="A96" s="1">
        <v>95</v>
      </c>
      <c r="B96" s="1" t="s">
        <v>20</v>
      </c>
      <c r="C96">
        <v>292.5</v>
      </c>
      <c r="D96">
        <v>315</v>
      </c>
      <c r="E96">
        <v>1</v>
      </c>
      <c r="F96">
        <v>1.5</v>
      </c>
      <c r="G96">
        <v>18</v>
      </c>
      <c r="H96">
        <v>20</v>
      </c>
      <c r="I96">
        <v>1.4173916942965701</v>
      </c>
      <c r="J96">
        <v>19.283484345088201</v>
      </c>
      <c r="K96">
        <v>302.02661596958097</v>
      </c>
      <c r="L96">
        <v>263</v>
      </c>
      <c r="M96" s="11">
        <f t="shared" si="4"/>
        <v>6.571270803818833E-4</v>
      </c>
      <c r="N96" s="12">
        <f t="shared" si="5"/>
        <v>0.23985138433938741</v>
      </c>
    </row>
    <row r="97" spans="1:14" x14ac:dyDescent="0.3">
      <c r="A97" s="1">
        <v>96</v>
      </c>
      <c r="B97" s="1" t="s">
        <v>15</v>
      </c>
      <c r="C97">
        <v>180</v>
      </c>
      <c r="D97">
        <v>202.5</v>
      </c>
      <c r="E97">
        <v>3</v>
      </c>
      <c r="F97">
        <v>3.5</v>
      </c>
      <c r="G97">
        <v>18</v>
      </c>
      <c r="H97">
        <v>20</v>
      </c>
      <c r="I97">
        <v>3.2261551701550299</v>
      </c>
      <c r="J97">
        <v>19.020958356091398</v>
      </c>
      <c r="K97">
        <v>199.06976744185999</v>
      </c>
      <c r="L97">
        <v>258</v>
      </c>
      <c r="M97" s="11">
        <f t="shared" si="4"/>
        <v>6.446341701084635E-4</v>
      </c>
      <c r="N97" s="12">
        <f t="shared" si="5"/>
        <v>0.23529147208958917</v>
      </c>
    </row>
    <row r="98" spans="1:14" x14ac:dyDescent="0.3">
      <c r="A98" s="1">
        <v>97</v>
      </c>
      <c r="B98" s="1" t="s">
        <v>16</v>
      </c>
      <c r="C98">
        <v>202.5</v>
      </c>
      <c r="D98">
        <v>225</v>
      </c>
      <c r="E98">
        <v>4</v>
      </c>
      <c r="F98">
        <v>4.5</v>
      </c>
      <c r="G98">
        <v>16</v>
      </c>
      <c r="H98">
        <v>18</v>
      </c>
      <c r="I98">
        <v>4.1429256662745004</v>
      </c>
      <c r="J98">
        <v>17.2036623735275</v>
      </c>
      <c r="K98">
        <v>207.65882352941099</v>
      </c>
      <c r="L98">
        <v>255</v>
      </c>
      <c r="M98" s="11">
        <f t="shared" si="4"/>
        <v>6.3713842394441157E-4</v>
      </c>
      <c r="N98" s="12">
        <f t="shared" si="5"/>
        <v>0.23255552473971022</v>
      </c>
    </row>
    <row r="99" spans="1:14" x14ac:dyDescent="0.3">
      <c r="A99" s="1">
        <v>98</v>
      </c>
      <c r="B99" s="1" t="s">
        <v>14</v>
      </c>
      <c r="C99">
        <v>157.5</v>
      </c>
      <c r="D99">
        <v>180</v>
      </c>
      <c r="E99">
        <v>1.5</v>
      </c>
      <c r="F99">
        <v>2</v>
      </c>
      <c r="G99">
        <v>6</v>
      </c>
      <c r="H99">
        <v>8</v>
      </c>
      <c r="I99">
        <v>1.85984259921259</v>
      </c>
      <c r="J99">
        <v>7.2262613654526104</v>
      </c>
      <c r="K99">
        <v>176.763779527559</v>
      </c>
      <c r="L99">
        <v>254</v>
      </c>
      <c r="M99" s="11">
        <f t="shared" si="4"/>
        <v>6.3463984188972763E-4</v>
      </c>
      <c r="N99" s="12">
        <f t="shared" si="5"/>
        <v>0.23164354228975056</v>
      </c>
    </row>
    <row r="100" spans="1:14" x14ac:dyDescent="0.3">
      <c r="A100" s="1">
        <v>99</v>
      </c>
      <c r="B100" s="1" t="s">
        <v>15</v>
      </c>
      <c r="C100">
        <v>180</v>
      </c>
      <c r="D100">
        <v>202.5</v>
      </c>
      <c r="E100">
        <v>1.5</v>
      </c>
      <c r="F100">
        <v>2</v>
      </c>
      <c r="G100">
        <v>6</v>
      </c>
      <c r="H100">
        <v>8</v>
      </c>
      <c r="I100">
        <v>1.8047903999999999</v>
      </c>
      <c r="J100">
        <v>7.5314346567953701</v>
      </c>
      <c r="K100">
        <v>184.189516129032</v>
      </c>
      <c r="L100">
        <v>248</v>
      </c>
      <c r="M100" s="11">
        <f t="shared" si="4"/>
        <v>6.1964834956162377E-4</v>
      </c>
      <c r="N100" s="12">
        <f t="shared" si="5"/>
        <v>0.22617164758999267</v>
      </c>
    </row>
    <row r="101" spans="1:14" x14ac:dyDescent="0.3">
      <c r="A101" s="1">
        <v>100</v>
      </c>
      <c r="B101" s="1" t="s">
        <v>19</v>
      </c>
      <c r="C101">
        <v>270</v>
      </c>
      <c r="D101">
        <v>292.5</v>
      </c>
      <c r="E101">
        <v>2</v>
      </c>
      <c r="F101">
        <v>2.5</v>
      </c>
      <c r="G101">
        <v>14</v>
      </c>
      <c r="H101">
        <v>16</v>
      </c>
      <c r="I101">
        <v>2.1106009278969902</v>
      </c>
      <c r="J101">
        <v>15.680834489966699</v>
      </c>
      <c r="K101">
        <v>280.480686695278</v>
      </c>
      <c r="L101">
        <v>233</v>
      </c>
      <c r="M101" s="11">
        <f t="shared" si="4"/>
        <v>5.8216961874136424E-4</v>
      </c>
      <c r="N101" s="12">
        <f t="shared" si="5"/>
        <v>0.21249191084059796</v>
      </c>
    </row>
    <row r="102" spans="1:14" x14ac:dyDescent="0.3">
      <c r="A102" s="1">
        <v>101</v>
      </c>
      <c r="B102" s="1" t="s">
        <v>18</v>
      </c>
      <c r="C102">
        <v>247.5</v>
      </c>
      <c r="D102">
        <v>270</v>
      </c>
      <c r="E102">
        <v>1</v>
      </c>
      <c r="F102">
        <v>1.5</v>
      </c>
      <c r="G102">
        <v>12</v>
      </c>
      <c r="H102">
        <v>14</v>
      </c>
      <c r="I102">
        <v>1.31699568646288</v>
      </c>
      <c r="J102">
        <v>13.182241124308799</v>
      </c>
      <c r="K102">
        <v>256.61572052401698</v>
      </c>
      <c r="L102">
        <v>229</v>
      </c>
      <c r="M102" s="11">
        <f t="shared" si="4"/>
        <v>5.7217529052262838E-4</v>
      </c>
      <c r="N102" s="12">
        <f t="shared" si="5"/>
        <v>0.20884398104075938</v>
      </c>
    </row>
    <row r="103" spans="1:14" x14ac:dyDescent="0.3">
      <c r="A103" s="1">
        <v>102</v>
      </c>
      <c r="B103" s="1" t="s">
        <v>20</v>
      </c>
      <c r="C103">
        <v>292.5</v>
      </c>
      <c r="D103">
        <v>315</v>
      </c>
      <c r="E103">
        <v>2</v>
      </c>
      <c r="F103">
        <v>2.5</v>
      </c>
      <c r="G103">
        <v>20</v>
      </c>
      <c r="H103">
        <v>22</v>
      </c>
      <c r="I103">
        <v>2.1186053381578902</v>
      </c>
      <c r="J103">
        <v>21.258638703815201</v>
      </c>
      <c r="K103">
        <v>302.83771929824502</v>
      </c>
      <c r="L103">
        <v>228</v>
      </c>
      <c r="M103" s="11">
        <f t="shared" si="4"/>
        <v>5.6967670846794444E-4</v>
      </c>
      <c r="N103" s="12">
        <f t="shared" si="5"/>
        <v>0.20793199859079972</v>
      </c>
    </row>
    <row r="104" spans="1:14" x14ac:dyDescent="0.3">
      <c r="A104" s="1">
        <v>103</v>
      </c>
      <c r="B104" s="1" t="s">
        <v>19</v>
      </c>
      <c r="C104">
        <v>270</v>
      </c>
      <c r="D104">
        <v>292.5</v>
      </c>
      <c r="E104">
        <v>1</v>
      </c>
      <c r="F104">
        <v>1.5</v>
      </c>
      <c r="G104">
        <v>16</v>
      </c>
      <c r="H104">
        <v>18</v>
      </c>
      <c r="I104">
        <v>1.38425576438356</v>
      </c>
      <c r="J104">
        <v>16.597142599086698</v>
      </c>
      <c r="K104">
        <v>284.07305936072999</v>
      </c>
      <c r="L104">
        <v>219</v>
      </c>
      <c r="M104" s="11">
        <f t="shared" si="4"/>
        <v>5.4718946997578876E-4</v>
      </c>
      <c r="N104" s="12">
        <f t="shared" si="5"/>
        <v>0.19972415654116288</v>
      </c>
    </row>
    <row r="105" spans="1:14" x14ac:dyDescent="0.3">
      <c r="A105" s="1">
        <v>104</v>
      </c>
      <c r="B105" s="1" t="s">
        <v>18</v>
      </c>
      <c r="C105">
        <v>247.5</v>
      </c>
      <c r="D105">
        <v>270</v>
      </c>
      <c r="E105">
        <v>1.5</v>
      </c>
      <c r="F105">
        <v>2</v>
      </c>
      <c r="G105">
        <v>12</v>
      </c>
      <c r="H105">
        <v>14</v>
      </c>
      <c r="I105">
        <v>1.68573919033816</v>
      </c>
      <c r="J105">
        <v>13.4046816999971</v>
      </c>
      <c r="K105">
        <v>254.685990338164</v>
      </c>
      <c r="L105">
        <v>207</v>
      </c>
      <c r="M105" s="11">
        <f t="shared" si="4"/>
        <v>5.1720648531958116E-4</v>
      </c>
      <c r="N105" s="12">
        <f t="shared" si="5"/>
        <v>0.18878036714164712</v>
      </c>
    </row>
    <row r="106" spans="1:14" x14ac:dyDescent="0.3">
      <c r="A106" s="1">
        <v>105</v>
      </c>
      <c r="B106" s="1" t="s">
        <v>14</v>
      </c>
      <c r="C106">
        <v>157.5</v>
      </c>
      <c r="D106">
        <v>180</v>
      </c>
      <c r="E106">
        <v>3.5</v>
      </c>
      <c r="F106">
        <v>4</v>
      </c>
      <c r="G106">
        <v>8</v>
      </c>
      <c r="H106">
        <v>10</v>
      </c>
      <c r="I106">
        <v>3.6470100633663298</v>
      </c>
      <c r="J106">
        <v>9.2365299053022092</v>
      </c>
      <c r="K106">
        <v>177.53960396039599</v>
      </c>
      <c r="L106">
        <v>202</v>
      </c>
      <c r="M106" s="11">
        <f t="shared" si="4"/>
        <v>5.0471357504616135E-4</v>
      </c>
      <c r="N106" s="12">
        <f t="shared" si="5"/>
        <v>0.18422045489184888</v>
      </c>
    </row>
    <row r="107" spans="1:14" x14ac:dyDescent="0.3">
      <c r="A107" s="1">
        <v>106</v>
      </c>
      <c r="B107" s="1" t="s">
        <v>15</v>
      </c>
      <c r="C107">
        <v>180</v>
      </c>
      <c r="D107">
        <v>202.5</v>
      </c>
      <c r="E107">
        <v>1.5</v>
      </c>
      <c r="F107">
        <v>2</v>
      </c>
      <c r="G107">
        <v>18</v>
      </c>
      <c r="H107">
        <v>20</v>
      </c>
      <c r="I107">
        <v>1.79616502164948</v>
      </c>
      <c r="J107">
        <v>19.069895289311599</v>
      </c>
      <c r="K107">
        <v>194.75773195876201</v>
      </c>
      <c r="L107">
        <v>194</v>
      </c>
      <c r="M107" s="11">
        <f t="shared" si="4"/>
        <v>4.8472491860868957E-4</v>
      </c>
      <c r="N107" s="12">
        <f t="shared" si="5"/>
        <v>0.17692459529217169</v>
      </c>
    </row>
    <row r="108" spans="1:14" x14ac:dyDescent="0.3">
      <c r="A108" s="1">
        <v>107</v>
      </c>
      <c r="B108" s="1" t="s">
        <v>15</v>
      </c>
      <c r="C108">
        <v>180</v>
      </c>
      <c r="D108">
        <v>202.5</v>
      </c>
      <c r="E108">
        <v>3.5</v>
      </c>
      <c r="F108">
        <v>4</v>
      </c>
      <c r="G108">
        <v>8</v>
      </c>
      <c r="H108">
        <v>10</v>
      </c>
      <c r="I108">
        <v>3.6987733515463899</v>
      </c>
      <c r="J108">
        <v>9.6003734308148907</v>
      </c>
      <c r="K108">
        <v>183.252577319587</v>
      </c>
      <c r="L108">
        <v>194</v>
      </c>
      <c r="M108" s="11">
        <f t="shared" si="4"/>
        <v>4.8472491860868957E-4</v>
      </c>
      <c r="N108" s="12">
        <f t="shared" si="5"/>
        <v>0.17692459529217169</v>
      </c>
    </row>
    <row r="109" spans="1:14" x14ac:dyDescent="0.3">
      <c r="A109" s="1">
        <v>108</v>
      </c>
      <c r="B109" s="1" t="s">
        <v>15</v>
      </c>
      <c r="C109">
        <v>180</v>
      </c>
      <c r="D109">
        <v>202.5</v>
      </c>
      <c r="E109">
        <v>3.5</v>
      </c>
      <c r="F109">
        <v>4</v>
      </c>
      <c r="G109">
        <v>10</v>
      </c>
      <c r="H109">
        <v>12</v>
      </c>
      <c r="I109">
        <v>3.6989060376470499</v>
      </c>
      <c r="J109">
        <v>10.495932751456699</v>
      </c>
      <c r="K109">
        <v>184.91764705882301</v>
      </c>
      <c r="L109">
        <v>170</v>
      </c>
      <c r="M109" s="11">
        <f t="shared" si="4"/>
        <v>4.2475894929627436E-4</v>
      </c>
      <c r="N109" s="12">
        <f t="shared" si="5"/>
        <v>0.15503701649314014</v>
      </c>
    </row>
    <row r="110" spans="1:14" x14ac:dyDescent="0.3">
      <c r="A110" s="1">
        <v>109</v>
      </c>
      <c r="B110" s="1" t="s">
        <v>20</v>
      </c>
      <c r="C110">
        <v>292.5</v>
      </c>
      <c r="D110">
        <v>315</v>
      </c>
      <c r="E110">
        <v>2</v>
      </c>
      <c r="F110">
        <v>2.5</v>
      </c>
      <c r="G110">
        <v>14</v>
      </c>
      <c r="H110">
        <v>16</v>
      </c>
      <c r="I110">
        <v>2.0795406168918902</v>
      </c>
      <c r="J110">
        <v>15.7733450116044</v>
      </c>
      <c r="K110">
        <v>298.02702702702697</v>
      </c>
      <c r="L110">
        <v>148</v>
      </c>
      <c r="M110" s="11">
        <f t="shared" si="4"/>
        <v>3.6979014409322709E-4</v>
      </c>
      <c r="N110" s="12">
        <f t="shared" si="5"/>
        <v>0.1349734025940279</v>
      </c>
    </row>
    <row r="111" spans="1:14" x14ac:dyDescent="0.3">
      <c r="A111" s="1">
        <v>110</v>
      </c>
      <c r="B111" s="1" t="s">
        <v>19</v>
      </c>
      <c r="C111">
        <v>270</v>
      </c>
      <c r="D111">
        <v>292.5</v>
      </c>
      <c r="E111">
        <v>1.5</v>
      </c>
      <c r="F111">
        <v>2</v>
      </c>
      <c r="G111">
        <v>18</v>
      </c>
      <c r="H111">
        <v>20</v>
      </c>
      <c r="I111">
        <v>1.8159105186567099</v>
      </c>
      <c r="J111">
        <v>19.221794791763902</v>
      </c>
      <c r="K111">
        <v>282.44029850746199</v>
      </c>
      <c r="L111">
        <v>134</v>
      </c>
      <c r="M111" s="11">
        <f t="shared" si="4"/>
        <v>3.3480999532765156E-4</v>
      </c>
      <c r="N111" s="12">
        <f t="shared" si="5"/>
        <v>0.12220564829459282</v>
      </c>
    </row>
    <row r="112" spans="1:14" x14ac:dyDescent="0.3">
      <c r="A112" s="1">
        <v>111</v>
      </c>
      <c r="B112" s="1" t="s">
        <v>14</v>
      </c>
      <c r="C112">
        <v>157.5</v>
      </c>
      <c r="D112">
        <v>180</v>
      </c>
      <c r="E112">
        <v>2</v>
      </c>
      <c r="F112">
        <v>2.5</v>
      </c>
      <c r="G112">
        <v>10</v>
      </c>
      <c r="H112">
        <v>12</v>
      </c>
      <c r="I112">
        <v>2.2423637181818101</v>
      </c>
      <c r="J112">
        <v>10.4512825740028</v>
      </c>
      <c r="K112">
        <v>178.825757575757</v>
      </c>
      <c r="L112">
        <v>132</v>
      </c>
      <c r="M112" s="11">
        <f t="shared" si="4"/>
        <v>3.2981283121828362E-4</v>
      </c>
      <c r="N112" s="12">
        <f t="shared" si="5"/>
        <v>0.12038168339467352</v>
      </c>
    </row>
    <row r="113" spans="1:14" x14ac:dyDescent="0.3">
      <c r="A113" s="1">
        <v>112</v>
      </c>
      <c r="B113" s="1" t="s">
        <v>14</v>
      </c>
      <c r="C113">
        <v>157.5</v>
      </c>
      <c r="D113">
        <v>180</v>
      </c>
      <c r="E113">
        <v>1</v>
      </c>
      <c r="F113">
        <v>1.5</v>
      </c>
      <c r="G113">
        <v>14</v>
      </c>
      <c r="H113">
        <v>16</v>
      </c>
      <c r="I113">
        <v>1.2532824931297699</v>
      </c>
      <c r="J113">
        <v>14.783824258012601</v>
      </c>
      <c r="K113">
        <v>174.23664122137399</v>
      </c>
      <c r="L113">
        <v>131</v>
      </c>
      <c r="M113" s="11">
        <f t="shared" si="4"/>
        <v>3.2731424916359968E-4</v>
      </c>
      <c r="N113" s="12">
        <f t="shared" si="5"/>
        <v>0.11946970094471387</v>
      </c>
    </row>
    <row r="114" spans="1:14" x14ac:dyDescent="0.3">
      <c r="A114" s="1">
        <v>113</v>
      </c>
      <c r="B114" s="1" t="s">
        <v>15</v>
      </c>
      <c r="C114">
        <v>180</v>
      </c>
      <c r="D114">
        <v>202.5</v>
      </c>
      <c r="E114">
        <v>1</v>
      </c>
      <c r="F114">
        <v>1.5</v>
      </c>
      <c r="G114">
        <v>14</v>
      </c>
      <c r="H114">
        <v>16</v>
      </c>
      <c r="I114">
        <v>1.35703082923076</v>
      </c>
      <c r="J114">
        <v>14.8672727885049</v>
      </c>
      <c r="K114">
        <v>195.86923076923</v>
      </c>
      <c r="L114">
        <v>130</v>
      </c>
      <c r="M114" s="11">
        <f t="shared" si="4"/>
        <v>3.2481566710891569E-4</v>
      </c>
      <c r="N114" s="12">
        <f t="shared" si="5"/>
        <v>0.11855771849475423</v>
      </c>
    </row>
    <row r="115" spans="1:14" x14ac:dyDescent="0.3">
      <c r="A115" s="1">
        <v>114</v>
      </c>
      <c r="B115" s="1" t="s">
        <v>16</v>
      </c>
      <c r="C115">
        <v>202.5</v>
      </c>
      <c r="D115">
        <v>225</v>
      </c>
      <c r="E115">
        <v>3</v>
      </c>
      <c r="F115">
        <v>3.5</v>
      </c>
      <c r="G115">
        <v>20</v>
      </c>
      <c r="H115">
        <v>22</v>
      </c>
      <c r="I115">
        <v>3.2060646475806398</v>
      </c>
      <c r="J115">
        <v>21.086701471527501</v>
      </c>
      <c r="K115">
        <v>212.40322580645099</v>
      </c>
      <c r="L115">
        <v>124</v>
      </c>
      <c r="M115" s="11">
        <f t="shared" si="4"/>
        <v>3.0982417478081189E-4</v>
      </c>
      <c r="N115" s="12">
        <f t="shared" si="5"/>
        <v>0.11308582379499633</v>
      </c>
    </row>
    <row r="116" spans="1:14" x14ac:dyDescent="0.3">
      <c r="A116" s="1">
        <v>115</v>
      </c>
      <c r="B116" s="1" t="s">
        <v>16</v>
      </c>
      <c r="C116">
        <v>202.5</v>
      </c>
      <c r="D116">
        <v>225</v>
      </c>
      <c r="E116">
        <v>2.5</v>
      </c>
      <c r="F116">
        <v>3</v>
      </c>
      <c r="G116">
        <v>10</v>
      </c>
      <c r="H116">
        <v>12</v>
      </c>
      <c r="I116">
        <v>2.64362611138211</v>
      </c>
      <c r="J116">
        <v>11.7617996439251</v>
      </c>
      <c r="K116">
        <v>208.82113821138199</v>
      </c>
      <c r="L116">
        <v>123</v>
      </c>
      <c r="M116" s="11">
        <f t="shared" si="4"/>
        <v>3.0732559272612795E-4</v>
      </c>
      <c r="N116" s="12">
        <f t="shared" si="5"/>
        <v>0.11217384134503669</v>
      </c>
    </row>
    <row r="117" spans="1:14" x14ac:dyDescent="0.3">
      <c r="A117" s="1">
        <v>116</v>
      </c>
      <c r="B117" s="1" t="s">
        <v>14</v>
      </c>
      <c r="C117">
        <v>157.5</v>
      </c>
      <c r="D117">
        <v>180</v>
      </c>
      <c r="E117">
        <v>1.5</v>
      </c>
      <c r="F117">
        <v>2</v>
      </c>
      <c r="G117">
        <v>10</v>
      </c>
      <c r="H117">
        <v>12</v>
      </c>
      <c r="I117">
        <v>1.86051674</v>
      </c>
      <c r="J117">
        <v>10.4078878751068</v>
      </c>
      <c r="K117">
        <v>178.92500000000001</v>
      </c>
      <c r="L117">
        <v>120</v>
      </c>
      <c r="M117" s="11">
        <f t="shared" si="4"/>
        <v>2.9982984656207602E-4</v>
      </c>
      <c r="N117" s="12">
        <f t="shared" si="5"/>
        <v>0.10943789399515774</v>
      </c>
    </row>
    <row r="118" spans="1:14" x14ac:dyDescent="0.3">
      <c r="A118" s="1">
        <v>117</v>
      </c>
      <c r="B118" s="1" t="s">
        <v>16</v>
      </c>
      <c r="C118">
        <v>202.5</v>
      </c>
      <c r="D118">
        <v>225</v>
      </c>
      <c r="E118">
        <v>1</v>
      </c>
      <c r="F118">
        <v>1.5</v>
      </c>
      <c r="G118">
        <v>18</v>
      </c>
      <c r="H118">
        <v>20</v>
      </c>
      <c r="I118">
        <v>1.3871250491071401</v>
      </c>
      <c r="J118">
        <v>19.185885393217099</v>
      </c>
      <c r="K118">
        <v>217.55357142857099</v>
      </c>
      <c r="L118">
        <v>112</v>
      </c>
      <c r="M118" s="11">
        <f t="shared" si="4"/>
        <v>2.7984119012460429E-4</v>
      </c>
      <c r="N118" s="12">
        <f t="shared" si="5"/>
        <v>0.10214203439548057</v>
      </c>
    </row>
    <row r="119" spans="1:14" x14ac:dyDescent="0.3">
      <c r="A119" s="1">
        <v>118</v>
      </c>
      <c r="B119" s="1" t="s">
        <v>17</v>
      </c>
      <c r="C119">
        <v>225</v>
      </c>
      <c r="D119">
        <v>247.5</v>
      </c>
      <c r="E119">
        <v>2.5</v>
      </c>
      <c r="F119">
        <v>3</v>
      </c>
      <c r="G119">
        <v>12</v>
      </c>
      <c r="H119">
        <v>14</v>
      </c>
      <c r="I119">
        <v>2.61587398108108</v>
      </c>
      <c r="J119">
        <v>13.3862513320717</v>
      </c>
      <c r="K119">
        <v>227.756756756756</v>
      </c>
      <c r="L119">
        <v>111</v>
      </c>
      <c r="M119" s="11">
        <f t="shared" si="4"/>
        <v>2.7734260806992035E-4</v>
      </c>
      <c r="N119" s="12">
        <f t="shared" si="5"/>
        <v>0.10123005194552091</v>
      </c>
    </row>
    <row r="120" spans="1:14" x14ac:dyDescent="0.3">
      <c r="A120" s="1">
        <v>119</v>
      </c>
      <c r="B120" s="1" t="s">
        <v>19</v>
      </c>
      <c r="C120">
        <v>270</v>
      </c>
      <c r="D120">
        <v>292.5</v>
      </c>
      <c r="E120">
        <v>2</v>
      </c>
      <c r="F120">
        <v>2.5</v>
      </c>
      <c r="G120">
        <v>18</v>
      </c>
      <c r="H120">
        <v>20</v>
      </c>
      <c r="I120">
        <v>2.2213818945454502</v>
      </c>
      <c r="J120">
        <v>18.971022027498901</v>
      </c>
      <c r="K120">
        <v>283.71818181818099</v>
      </c>
      <c r="L120">
        <v>110</v>
      </c>
      <c r="M120" s="11">
        <f t="shared" si="4"/>
        <v>2.7484402601523635E-4</v>
      </c>
      <c r="N120" s="12">
        <f t="shared" si="5"/>
        <v>0.10031806949556127</v>
      </c>
    </row>
    <row r="121" spans="1:14" x14ac:dyDescent="0.3">
      <c r="A121" s="1">
        <v>120</v>
      </c>
      <c r="B121" s="1" t="s">
        <v>16</v>
      </c>
      <c r="C121">
        <v>202.5</v>
      </c>
      <c r="D121">
        <v>225</v>
      </c>
      <c r="E121">
        <v>4</v>
      </c>
      <c r="F121">
        <v>4.5</v>
      </c>
      <c r="G121">
        <v>18</v>
      </c>
      <c r="H121">
        <v>20</v>
      </c>
      <c r="I121">
        <v>4.1318717394495401</v>
      </c>
      <c r="J121">
        <v>18.910486288005</v>
      </c>
      <c r="K121">
        <v>210.56880733944899</v>
      </c>
      <c r="L121">
        <v>109</v>
      </c>
      <c r="M121" s="11">
        <f t="shared" si="4"/>
        <v>2.7234544396055241E-4</v>
      </c>
      <c r="N121" s="12">
        <f t="shared" si="5"/>
        <v>9.9406087045601624E-2</v>
      </c>
    </row>
    <row r="122" spans="1:14" x14ac:dyDescent="0.3">
      <c r="A122" s="1">
        <v>121</v>
      </c>
      <c r="B122" s="1" t="s">
        <v>15</v>
      </c>
      <c r="C122">
        <v>180</v>
      </c>
      <c r="D122">
        <v>202.5</v>
      </c>
      <c r="E122">
        <v>2</v>
      </c>
      <c r="F122">
        <v>2.5</v>
      </c>
      <c r="G122">
        <v>20</v>
      </c>
      <c r="H122">
        <v>22</v>
      </c>
      <c r="I122">
        <v>2.24596270093457</v>
      </c>
      <c r="J122">
        <v>21.039949935278401</v>
      </c>
      <c r="K122">
        <v>197.77570093457899</v>
      </c>
      <c r="L122">
        <v>107</v>
      </c>
      <c r="M122" s="11">
        <f t="shared" si="4"/>
        <v>2.6734827985118448E-4</v>
      </c>
      <c r="N122" s="12">
        <f t="shared" si="5"/>
        <v>9.7582122145682321E-2</v>
      </c>
    </row>
    <row r="123" spans="1:14" x14ac:dyDescent="0.3">
      <c r="A123" s="1">
        <v>122</v>
      </c>
      <c r="B123" s="1" t="s">
        <v>15</v>
      </c>
      <c r="C123">
        <v>180</v>
      </c>
      <c r="D123">
        <v>202.5</v>
      </c>
      <c r="E123">
        <v>2.5</v>
      </c>
      <c r="F123">
        <v>3</v>
      </c>
      <c r="G123">
        <v>6</v>
      </c>
      <c r="H123">
        <v>8</v>
      </c>
      <c r="I123">
        <v>2.6690378358490499</v>
      </c>
      <c r="J123">
        <v>7.8287652496083604</v>
      </c>
      <c r="K123">
        <v>183.25471698113199</v>
      </c>
      <c r="L123">
        <v>106</v>
      </c>
      <c r="M123" s="11">
        <f t="shared" si="4"/>
        <v>2.6484969779650048E-4</v>
      </c>
      <c r="N123" s="12">
        <f t="shared" si="5"/>
        <v>9.6670139695722676E-2</v>
      </c>
    </row>
    <row r="124" spans="1:14" x14ac:dyDescent="0.3">
      <c r="A124" s="1">
        <v>123</v>
      </c>
      <c r="B124" s="1" t="s">
        <v>17</v>
      </c>
      <c r="C124">
        <v>225</v>
      </c>
      <c r="D124">
        <v>247.5</v>
      </c>
      <c r="E124">
        <v>2.5</v>
      </c>
      <c r="F124">
        <v>3</v>
      </c>
      <c r="G124">
        <v>18</v>
      </c>
      <c r="H124">
        <v>20</v>
      </c>
      <c r="I124">
        <v>2.63996161923076</v>
      </c>
      <c r="J124">
        <v>19.013543224405598</v>
      </c>
      <c r="K124">
        <v>228.80769230769201</v>
      </c>
      <c r="L124">
        <v>104</v>
      </c>
      <c r="M124" s="11">
        <f t="shared" si="4"/>
        <v>2.5985253368713255E-4</v>
      </c>
      <c r="N124" s="12">
        <f t="shared" si="5"/>
        <v>9.4846174795803387E-2</v>
      </c>
    </row>
    <row r="125" spans="1:14" x14ac:dyDescent="0.3">
      <c r="A125" s="1">
        <v>124</v>
      </c>
      <c r="B125" s="1" t="s">
        <v>17</v>
      </c>
      <c r="C125">
        <v>225</v>
      </c>
      <c r="D125">
        <v>247.5</v>
      </c>
      <c r="E125">
        <v>3</v>
      </c>
      <c r="F125">
        <v>3.5</v>
      </c>
      <c r="G125">
        <v>16</v>
      </c>
      <c r="H125">
        <v>18</v>
      </c>
      <c r="I125">
        <v>3.1120578105769199</v>
      </c>
      <c r="J125">
        <v>17.1107715189065</v>
      </c>
      <c r="K125">
        <v>231.548076923076</v>
      </c>
      <c r="L125">
        <v>104</v>
      </c>
      <c r="M125" s="11">
        <f t="shared" si="4"/>
        <v>2.5985253368713255E-4</v>
      </c>
      <c r="N125" s="12">
        <f t="shared" si="5"/>
        <v>9.4846174795803387E-2</v>
      </c>
    </row>
    <row r="126" spans="1:14" x14ac:dyDescent="0.3">
      <c r="A126" s="1">
        <v>125</v>
      </c>
      <c r="B126" s="1" t="s">
        <v>15</v>
      </c>
      <c r="C126">
        <v>180</v>
      </c>
      <c r="D126">
        <v>202.5</v>
      </c>
      <c r="E126">
        <v>3.5</v>
      </c>
      <c r="F126">
        <v>4</v>
      </c>
      <c r="G126">
        <v>12</v>
      </c>
      <c r="H126">
        <v>14</v>
      </c>
      <c r="I126">
        <v>3.65372564019607</v>
      </c>
      <c r="J126">
        <v>13.3042090346927</v>
      </c>
      <c r="K126">
        <v>196.24509803921501</v>
      </c>
      <c r="L126">
        <v>102</v>
      </c>
      <c r="M126" s="11">
        <f t="shared" si="4"/>
        <v>2.5485536957776462E-4</v>
      </c>
      <c r="N126" s="12">
        <f t="shared" si="5"/>
        <v>9.3022209895884084E-2</v>
      </c>
    </row>
    <row r="127" spans="1:14" x14ac:dyDescent="0.3">
      <c r="A127" s="1">
        <v>126</v>
      </c>
      <c r="B127" s="1" t="s">
        <v>19</v>
      </c>
      <c r="C127">
        <v>270</v>
      </c>
      <c r="D127">
        <v>292.5</v>
      </c>
      <c r="E127">
        <v>1</v>
      </c>
      <c r="F127">
        <v>1.5</v>
      </c>
      <c r="G127">
        <v>12</v>
      </c>
      <c r="H127">
        <v>14</v>
      </c>
      <c r="I127">
        <v>1.3310392696078399</v>
      </c>
      <c r="J127">
        <v>13.3354174751115</v>
      </c>
      <c r="K127">
        <v>281.29411764705799</v>
      </c>
      <c r="L127">
        <v>102</v>
      </c>
      <c r="M127" s="11">
        <f t="shared" si="4"/>
        <v>2.5485536957776462E-4</v>
      </c>
      <c r="N127" s="12">
        <f t="shared" si="5"/>
        <v>9.3022209895884084E-2</v>
      </c>
    </row>
    <row r="128" spans="1:14" x14ac:dyDescent="0.3">
      <c r="A128" s="1">
        <v>127</v>
      </c>
      <c r="B128" s="1" t="s">
        <v>18</v>
      </c>
      <c r="C128">
        <v>247.5</v>
      </c>
      <c r="D128">
        <v>270</v>
      </c>
      <c r="E128">
        <v>1.5</v>
      </c>
      <c r="F128">
        <v>2</v>
      </c>
      <c r="G128">
        <v>18</v>
      </c>
      <c r="H128">
        <v>20</v>
      </c>
      <c r="I128">
        <v>1.77976244653465</v>
      </c>
      <c r="J128">
        <v>19.047511391270401</v>
      </c>
      <c r="K128">
        <v>259.39603960395999</v>
      </c>
      <c r="L128">
        <v>101</v>
      </c>
      <c r="M128" s="11">
        <f t="shared" si="4"/>
        <v>2.5235678752308068E-4</v>
      </c>
      <c r="N128" s="12">
        <f t="shared" si="5"/>
        <v>9.2110227445924439E-2</v>
      </c>
    </row>
    <row r="129" spans="1:14" x14ac:dyDescent="0.3">
      <c r="A129" s="1">
        <v>128</v>
      </c>
      <c r="B129" s="1" t="s">
        <v>16</v>
      </c>
      <c r="C129">
        <v>202.5</v>
      </c>
      <c r="D129">
        <v>225</v>
      </c>
      <c r="E129">
        <v>1</v>
      </c>
      <c r="F129">
        <v>1.5</v>
      </c>
      <c r="G129">
        <v>8</v>
      </c>
      <c r="H129">
        <v>10</v>
      </c>
      <c r="I129">
        <v>1.38339135652173</v>
      </c>
      <c r="J129">
        <v>9.6817119937849103</v>
      </c>
      <c r="K129">
        <v>206.64130434782601</v>
      </c>
      <c r="L129">
        <v>92</v>
      </c>
      <c r="M129" s="11">
        <f t="shared" si="4"/>
        <v>2.2986954903092495E-4</v>
      </c>
      <c r="N129" s="12">
        <f t="shared" si="5"/>
        <v>8.390238539628761E-2</v>
      </c>
    </row>
    <row r="130" spans="1:14" x14ac:dyDescent="0.3">
      <c r="A130" s="49">
        <v>129</v>
      </c>
      <c r="B130" s="1" t="s">
        <v>14</v>
      </c>
      <c r="C130">
        <v>157.5</v>
      </c>
      <c r="D130">
        <v>180</v>
      </c>
      <c r="E130">
        <v>0.5</v>
      </c>
      <c r="F130">
        <v>1</v>
      </c>
      <c r="G130">
        <v>12</v>
      </c>
      <c r="H130">
        <v>14</v>
      </c>
      <c r="I130">
        <v>0.69806669633333296</v>
      </c>
      <c r="J130">
        <v>13.361900537301899</v>
      </c>
      <c r="K130">
        <v>166.58888888888799</v>
      </c>
      <c r="L130">
        <v>90</v>
      </c>
      <c r="M130" s="11">
        <f t="shared" si="4"/>
        <v>2.2487238492155701E-4</v>
      </c>
      <c r="N130" s="12">
        <f t="shared" si="5"/>
        <v>8.2078420496368307E-2</v>
      </c>
    </row>
    <row r="131" spans="1:14" x14ac:dyDescent="0.3">
      <c r="A131" s="1">
        <v>130</v>
      </c>
      <c r="B131" s="1" t="s">
        <v>17</v>
      </c>
      <c r="C131">
        <v>225</v>
      </c>
      <c r="D131">
        <v>247.5</v>
      </c>
      <c r="E131">
        <v>3</v>
      </c>
      <c r="F131">
        <v>3.5</v>
      </c>
      <c r="G131">
        <v>14</v>
      </c>
      <c r="H131">
        <v>16</v>
      </c>
      <c r="I131">
        <v>3.1367416898876401</v>
      </c>
      <c r="J131">
        <v>15.126128621837999</v>
      </c>
      <c r="K131">
        <v>229.14606741572999</v>
      </c>
      <c r="L131">
        <v>89</v>
      </c>
      <c r="M131" s="11">
        <f t="shared" ref="M131:M194" si="6">L131/$P$2</f>
        <v>2.2237380286687305E-4</v>
      </c>
      <c r="N131" s="12">
        <f t="shared" ref="N131:N194" si="7">(365*L131)/$P$2</f>
        <v>8.1166438046408662E-2</v>
      </c>
    </row>
    <row r="132" spans="1:14" x14ac:dyDescent="0.3">
      <c r="A132" s="1">
        <v>131</v>
      </c>
      <c r="B132" s="1" t="s">
        <v>15</v>
      </c>
      <c r="C132">
        <v>180</v>
      </c>
      <c r="D132">
        <v>202.5</v>
      </c>
      <c r="E132">
        <v>4</v>
      </c>
      <c r="F132">
        <v>4.5</v>
      </c>
      <c r="G132">
        <v>16</v>
      </c>
      <c r="H132">
        <v>18</v>
      </c>
      <c r="I132">
        <v>4.2168047540229798</v>
      </c>
      <c r="J132">
        <v>16.881256364038499</v>
      </c>
      <c r="K132">
        <v>201.03448275861999</v>
      </c>
      <c r="L132">
        <v>87</v>
      </c>
      <c r="M132" s="11">
        <f t="shared" si="6"/>
        <v>2.1737663875750511E-4</v>
      </c>
      <c r="N132" s="12">
        <f t="shared" si="7"/>
        <v>7.9342473146489373E-2</v>
      </c>
    </row>
    <row r="133" spans="1:14" x14ac:dyDescent="0.3">
      <c r="A133" s="1">
        <v>132</v>
      </c>
      <c r="B133" s="1" t="s">
        <v>20</v>
      </c>
      <c r="C133">
        <v>292.5</v>
      </c>
      <c r="D133">
        <v>315</v>
      </c>
      <c r="E133">
        <v>1</v>
      </c>
      <c r="F133">
        <v>1.5</v>
      </c>
      <c r="G133">
        <v>20</v>
      </c>
      <c r="H133">
        <v>22</v>
      </c>
      <c r="I133">
        <v>1.42358626551724</v>
      </c>
      <c r="J133">
        <v>21.231806992540701</v>
      </c>
      <c r="K133">
        <v>303</v>
      </c>
      <c r="L133">
        <v>87</v>
      </c>
      <c r="M133" s="11">
        <f t="shared" si="6"/>
        <v>2.1737663875750511E-4</v>
      </c>
      <c r="N133" s="12">
        <f t="shared" si="7"/>
        <v>7.9342473146489373E-2</v>
      </c>
    </row>
    <row r="134" spans="1:14" x14ac:dyDescent="0.3">
      <c r="A134" s="1">
        <v>133</v>
      </c>
      <c r="B134" s="1" t="s">
        <v>15</v>
      </c>
      <c r="C134">
        <v>180</v>
      </c>
      <c r="D134">
        <v>202.5</v>
      </c>
      <c r="E134">
        <v>3.5</v>
      </c>
      <c r="F134">
        <v>4</v>
      </c>
      <c r="G134">
        <v>18</v>
      </c>
      <c r="H134">
        <v>20</v>
      </c>
      <c r="I134">
        <v>3.7159754629629602</v>
      </c>
      <c r="J134">
        <v>18.9293698379727</v>
      </c>
      <c r="K134">
        <v>199</v>
      </c>
      <c r="L134">
        <v>81</v>
      </c>
      <c r="M134" s="11">
        <f t="shared" si="6"/>
        <v>2.0238514642940131E-4</v>
      </c>
      <c r="N134" s="12">
        <f t="shared" si="7"/>
        <v>7.3870578446731477E-2</v>
      </c>
    </row>
    <row r="135" spans="1:14" x14ac:dyDescent="0.3">
      <c r="A135" s="1">
        <v>134</v>
      </c>
      <c r="B135" s="1" t="s">
        <v>14</v>
      </c>
      <c r="C135">
        <v>157.5</v>
      </c>
      <c r="D135">
        <v>180</v>
      </c>
      <c r="E135">
        <v>0.5</v>
      </c>
      <c r="F135">
        <v>1</v>
      </c>
      <c r="G135">
        <v>14</v>
      </c>
      <c r="H135">
        <v>16</v>
      </c>
      <c r="I135">
        <v>0.74705131012820503</v>
      </c>
      <c r="J135">
        <v>14.771277093872101</v>
      </c>
      <c r="K135">
        <v>173.935897435897</v>
      </c>
      <c r="L135">
        <v>78</v>
      </c>
      <c r="M135" s="11">
        <f t="shared" si="6"/>
        <v>1.9488940026534941E-4</v>
      </c>
      <c r="N135" s="12">
        <f t="shared" si="7"/>
        <v>7.113463109685253E-2</v>
      </c>
    </row>
    <row r="136" spans="1:14" x14ac:dyDescent="0.3">
      <c r="A136" s="1">
        <v>135</v>
      </c>
      <c r="B136" s="1" t="s">
        <v>14</v>
      </c>
      <c r="C136">
        <v>157.5</v>
      </c>
      <c r="D136">
        <v>180</v>
      </c>
      <c r="E136">
        <v>1</v>
      </c>
      <c r="F136">
        <v>1.5</v>
      </c>
      <c r="G136">
        <v>16</v>
      </c>
      <c r="H136">
        <v>18</v>
      </c>
      <c r="I136">
        <v>1.3127692897435801</v>
      </c>
      <c r="J136">
        <v>17.036156511632399</v>
      </c>
      <c r="K136">
        <v>168</v>
      </c>
      <c r="L136">
        <v>78</v>
      </c>
      <c r="M136" s="11">
        <f t="shared" si="6"/>
        <v>1.9488940026534941E-4</v>
      </c>
      <c r="N136" s="12">
        <f t="shared" si="7"/>
        <v>7.113463109685253E-2</v>
      </c>
    </row>
    <row r="137" spans="1:14" x14ac:dyDescent="0.3">
      <c r="A137" s="1">
        <v>136</v>
      </c>
      <c r="B137" s="1" t="s">
        <v>15</v>
      </c>
      <c r="C137">
        <v>180</v>
      </c>
      <c r="D137">
        <v>202.5</v>
      </c>
      <c r="E137">
        <v>1</v>
      </c>
      <c r="F137">
        <v>1.5</v>
      </c>
      <c r="G137">
        <v>16</v>
      </c>
      <c r="H137">
        <v>18</v>
      </c>
      <c r="I137">
        <v>1.4173334</v>
      </c>
      <c r="J137">
        <v>16.747142791440801</v>
      </c>
      <c r="K137">
        <v>198.34666666666601</v>
      </c>
      <c r="L137">
        <v>75</v>
      </c>
      <c r="M137" s="11">
        <f t="shared" si="6"/>
        <v>1.8739365410129751E-4</v>
      </c>
      <c r="N137" s="12">
        <f t="shared" si="7"/>
        <v>6.8398683746973596E-2</v>
      </c>
    </row>
    <row r="138" spans="1:14" x14ac:dyDescent="0.3">
      <c r="A138" s="1">
        <v>137</v>
      </c>
      <c r="B138" s="1" t="s">
        <v>14</v>
      </c>
      <c r="C138">
        <v>157.5</v>
      </c>
      <c r="D138">
        <v>180</v>
      </c>
      <c r="E138">
        <v>1.5</v>
      </c>
      <c r="F138">
        <v>2</v>
      </c>
      <c r="G138">
        <v>16</v>
      </c>
      <c r="H138">
        <v>18</v>
      </c>
      <c r="I138">
        <v>1.715500075</v>
      </c>
      <c r="J138">
        <v>17.1509344192615</v>
      </c>
      <c r="K138">
        <v>173.638888888888</v>
      </c>
      <c r="L138">
        <v>72</v>
      </c>
      <c r="M138" s="11">
        <f t="shared" si="6"/>
        <v>1.7989790793724561E-4</v>
      </c>
      <c r="N138" s="12">
        <f t="shared" si="7"/>
        <v>6.5662736397094648E-2</v>
      </c>
    </row>
    <row r="139" spans="1:14" x14ac:dyDescent="0.3">
      <c r="A139" s="1">
        <v>138</v>
      </c>
      <c r="B139" s="1" t="s">
        <v>20</v>
      </c>
      <c r="C139">
        <v>292.5</v>
      </c>
      <c r="D139">
        <v>315</v>
      </c>
      <c r="E139">
        <v>1.5</v>
      </c>
      <c r="F139">
        <v>2</v>
      </c>
      <c r="G139">
        <v>22</v>
      </c>
      <c r="H139">
        <v>24</v>
      </c>
      <c r="I139">
        <v>1.77344451805555</v>
      </c>
      <c r="J139">
        <v>23.540357991955499</v>
      </c>
      <c r="K139">
        <v>303.222222222222</v>
      </c>
      <c r="L139">
        <v>72</v>
      </c>
      <c r="M139" s="11">
        <f t="shared" si="6"/>
        <v>1.7989790793724561E-4</v>
      </c>
      <c r="N139" s="12">
        <f t="shared" si="7"/>
        <v>6.5662736397094648E-2</v>
      </c>
    </row>
    <row r="140" spans="1:14" x14ac:dyDescent="0.3">
      <c r="A140" s="1">
        <v>139</v>
      </c>
      <c r="B140" s="1" t="s">
        <v>14</v>
      </c>
      <c r="C140">
        <v>157.5</v>
      </c>
      <c r="D140">
        <v>180</v>
      </c>
      <c r="E140">
        <v>3.5</v>
      </c>
      <c r="F140">
        <v>4</v>
      </c>
      <c r="G140">
        <v>10</v>
      </c>
      <c r="H140">
        <v>12</v>
      </c>
      <c r="I140">
        <v>3.77611445285714</v>
      </c>
      <c r="J140">
        <v>10.314745219673201</v>
      </c>
      <c r="K140">
        <v>178.62857142857101</v>
      </c>
      <c r="L140">
        <v>70</v>
      </c>
      <c r="M140" s="11">
        <f t="shared" si="6"/>
        <v>1.7490074382787768E-4</v>
      </c>
      <c r="N140" s="12">
        <f t="shared" si="7"/>
        <v>6.3838771497175359E-2</v>
      </c>
    </row>
    <row r="141" spans="1:14" x14ac:dyDescent="0.3">
      <c r="A141" s="1">
        <v>140</v>
      </c>
      <c r="B141" s="1" t="s">
        <v>15</v>
      </c>
      <c r="C141">
        <v>180</v>
      </c>
      <c r="D141">
        <v>202.5</v>
      </c>
      <c r="E141">
        <v>4</v>
      </c>
      <c r="F141">
        <v>4.5</v>
      </c>
      <c r="G141">
        <v>14</v>
      </c>
      <c r="H141">
        <v>16</v>
      </c>
      <c r="I141">
        <v>4.1727274090908999</v>
      </c>
      <c r="J141">
        <v>15.115886988969899</v>
      </c>
      <c r="K141">
        <v>197.89393939393901</v>
      </c>
      <c r="L141">
        <v>66</v>
      </c>
      <c r="M141" s="11">
        <f t="shared" si="6"/>
        <v>1.6490641560914181E-4</v>
      </c>
      <c r="N141" s="12">
        <f t="shared" si="7"/>
        <v>6.019084169733676E-2</v>
      </c>
    </row>
    <row r="142" spans="1:14" x14ac:dyDescent="0.3">
      <c r="A142" s="1">
        <v>141</v>
      </c>
      <c r="B142" s="1" t="s">
        <v>16</v>
      </c>
      <c r="C142">
        <v>202.5</v>
      </c>
      <c r="D142">
        <v>225</v>
      </c>
      <c r="E142">
        <v>3.5</v>
      </c>
      <c r="F142">
        <v>4</v>
      </c>
      <c r="G142">
        <v>12</v>
      </c>
      <c r="H142">
        <v>14</v>
      </c>
      <c r="I142">
        <v>3.66924258484848</v>
      </c>
      <c r="J142">
        <v>13.428702502671101</v>
      </c>
      <c r="K142">
        <v>208.30303030303</v>
      </c>
      <c r="L142">
        <v>66</v>
      </c>
      <c r="M142" s="11">
        <f t="shared" si="6"/>
        <v>1.6490641560914181E-4</v>
      </c>
      <c r="N142" s="12">
        <f t="shared" si="7"/>
        <v>6.019084169733676E-2</v>
      </c>
    </row>
    <row r="143" spans="1:14" x14ac:dyDescent="0.3">
      <c r="A143" s="1">
        <v>142</v>
      </c>
      <c r="B143" s="1" t="s">
        <v>18</v>
      </c>
      <c r="C143">
        <v>247.5</v>
      </c>
      <c r="D143">
        <v>270</v>
      </c>
      <c r="E143">
        <v>2.5</v>
      </c>
      <c r="F143">
        <v>3</v>
      </c>
      <c r="G143">
        <v>16</v>
      </c>
      <c r="H143">
        <v>18</v>
      </c>
      <c r="I143">
        <v>2.6261231600000001</v>
      </c>
      <c r="J143">
        <v>17.255958410019101</v>
      </c>
      <c r="K143">
        <v>257.96923076923002</v>
      </c>
      <c r="L143">
        <v>65</v>
      </c>
      <c r="M143" s="11">
        <f t="shared" si="6"/>
        <v>1.6240783355445784E-4</v>
      </c>
      <c r="N143" s="12">
        <f t="shared" si="7"/>
        <v>5.9278859247377115E-2</v>
      </c>
    </row>
    <row r="144" spans="1:14" x14ac:dyDescent="0.3">
      <c r="A144" s="1">
        <v>143</v>
      </c>
      <c r="B144" s="1" t="s">
        <v>14</v>
      </c>
      <c r="C144">
        <v>157.5</v>
      </c>
      <c r="D144">
        <v>180</v>
      </c>
      <c r="E144">
        <v>1</v>
      </c>
      <c r="F144">
        <v>1.5</v>
      </c>
      <c r="G144">
        <v>8</v>
      </c>
      <c r="H144">
        <v>10</v>
      </c>
      <c r="I144">
        <v>1.4189375546875</v>
      </c>
      <c r="J144">
        <v>9.0179537886883097</v>
      </c>
      <c r="K144">
        <v>178.171875</v>
      </c>
      <c r="L144">
        <v>64</v>
      </c>
      <c r="M144" s="11">
        <f t="shared" si="6"/>
        <v>1.5990925149977388E-4</v>
      </c>
      <c r="N144" s="12">
        <f t="shared" si="7"/>
        <v>5.8366876797417463E-2</v>
      </c>
    </row>
    <row r="145" spans="1:14" x14ac:dyDescent="0.3">
      <c r="A145" s="1">
        <v>144</v>
      </c>
      <c r="B145" s="1" t="s">
        <v>18</v>
      </c>
      <c r="C145">
        <v>247.5</v>
      </c>
      <c r="D145">
        <v>270</v>
      </c>
      <c r="E145">
        <v>2</v>
      </c>
      <c r="F145">
        <v>2.5</v>
      </c>
      <c r="G145">
        <v>18</v>
      </c>
      <c r="H145">
        <v>20</v>
      </c>
      <c r="I145">
        <v>2.29370975483871</v>
      </c>
      <c r="J145">
        <v>19.0608396629633</v>
      </c>
      <c r="K145">
        <v>260.322580645161</v>
      </c>
      <c r="L145">
        <v>62</v>
      </c>
      <c r="M145" s="11">
        <f t="shared" si="6"/>
        <v>1.5491208739040594E-4</v>
      </c>
      <c r="N145" s="12">
        <f t="shared" si="7"/>
        <v>5.6542911897498167E-2</v>
      </c>
    </row>
    <row r="146" spans="1:14" x14ac:dyDescent="0.3">
      <c r="A146" s="1">
        <v>145</v>
      </c>
      <c r="B146" s="1" t="s">
        <v>15</v>
      </c>
      <c r="C146">
        <v>180</v>
      </c>
      <c r="D146">
        <v>202.5</v>
      </c>
      <c r="E146">
        <v>2.5</v>
      </c>
      <c r="F146">
        <v>3</v>
      </c>
      <c r="G146">
        <v>20</v>
      </c>
      <c r="H146">
        <v>22</v>
      </c>
      <c r="I146">
        <v>2.76350829672131</v>
      </c>
      <c r="J146">
        <v>20.888963719446998</v>
      </c>
      <c r="K146">
        <v>198.14754098360601</v>
      </c>
      <c r="L146">
        <v>61</v>
      </c>
      <c r="M146" s="11">
        <f t="shared" si="6"/>
        <v>1.5241350533572198E-4</v>
      </c>
      <c r="N146" s="12">
        <f t="shared" si="7"/>
        <v>5.5630929447538523E-2</v>
      </c>
    </row>
    <row r="147" spans="1:14" x14ac:dyDescent="0.3">
      <c r="A147" s="1">
        <v>146</v>
      </c>
      <c r="B147" s="1" t="s">
        <v>14</v>
      </c>
      <c r="C147">
        <v>157.5</v>
      </c>
      <c r="D147">
        <v>180</v>
      </c>
      <c r="E147">
        <v>0.5</v>
      </c>
      <c r="F147">
        <v>1</v>
      </c>
      <c r="G147">
        <v>8</v>
      </c>
      <c r="H147">
        <v>10</v>
      </c>
      <c r="I147">
        <v>0.88853337083333295</v>
      </c>
      <c r="J147">
        <v>8.5227243856858195</v>
      </c>
      <c r="K147">
        <v>173.81666666666601</v>
      </c>
      <c r="L147">
        <v>60</v>
      </c>
      <c r="M147" s="11">
        <f t="shared" si="6"/>
        <v>1.4991492328103801E-4</v>
      </c>
      <c r="N147" s="12">
        <f t="shared" si="7"/>
        <v>5.4718946997578871E-2</v>
      </c>
    </row>
    <row r="148" spans="1:14" x14ac:dyDescent="0.3">
      <c r="A148" s="1">
        <v>147</v>
      </c>
      <c r="B148" s="1" t="s">
        <v>16</v>
      </c>
      <c r="C148">
        <v>202.5</v>
      </c>
      <c r="D148">
        <v>225</v>
      </c>
      <c r="E148">
        <v>1.5</v>
      </c>
      <c r="F148">
        <v>2</v>
      </c>
      <c r="G148">
        <v>4</v>
      </c>
      <c r="H148">
        <v>6</v>
      </c>
      <c r="I148">
        <v>1.8205763355932201</v>
      </c>
      <c r="J148">
        <v>4.89161900902808</v>
      </c>
      <c r="K148">
        <v>210.15254237288099</v>
      </c>
      <c r="L148">
        <v>59</v>
      </c>
      <c r="M148" s="11">
        <f t="shared" si="6"/>
        <v>1.4741634122635404E-4</v>
      </c>
      <c r="N148" s="12">
        <f t="shared" si="7"/>
        <v>5.3806964547619227E-2</v>
      </c>
    </row>
    <row r="149" spans="1:14" x14ac:dyDescent="0.3">
      <c r="A149" s="1">
        <v>148</v>
      </c>
      <c r="B149" s="1" t="s">
        <v>16</v>
      </c>
      <c r="C149">
        <v>202.5</v>
      </c>
      <c r="D149">
        <v>225</v>
      </c>
      <c r="E149">
        <v>1.5</v>
      </c>
      <c r="F149">
        <v>2</v>
      </c>
      <c r="G149">
        <v>8</v>
      </c>
      <c r="H149">
        <v>10</v>
      </c>
      <c r="I149">
        <v>1.6264211192982401</v>
      </c>
      <c r="J149">
        <v>9.7062708822089796</v>
      </c>
      <c r="K149">
        <v>208.29824561403501</v>
      </c>
      <c r="L149">
        <v>57</v>
      </c>
      <c r="M149" s="11">
        <f t="shared" si="6"/>
        <v>1.4241917711698611E-4</v>
      </c>
      <c r="N149" s="12">
        <f t="shared" si="7"/>
        <v>5.198299964769993E-2</v>
      </c>
    </row>
    <row r="150" spans="1:14" x14ac:dyDescent="0.3">
      <c r="A150" s="1">
        <v>149</v>
      </c>
      <c r="B150" s="1" t="s">
        <v>16</v>
      </c>
      <c r="C150">
        <v>202.5</v>
      </c>
      <c r="D150">
        <v>225</v>
      </c>
      <c r="E150">
        <v>4.5</v>
      </c>
      <c r="F150">
        <v>5</v>
      </c>
      <c r="G150">
        <v>16</v>
      </c>
      <c r="H150">
        <v>18</v>
      </c>
      <c r="I150">
        <v>4.6162808508771898</v>
      </c>
      <c r="J150">
        <v>17.493239584752398</v>
      </c>
      <c r="K150">
        <v>207.614035087719</v>
      </c>
      <c r="L150">
        <v>57</v>
      </c>
      <c r="M150" s="11">
        <f t="shared" si="6"/>
        <v>1.4241917711698611E-4</v>
      </c>
      <c r="N150" s="12">
        <f t="shared" si="7"/>
        <v>5.198299964769993E-2</v>
      </c>
    </row>
    <row r="151" spans="1:14" x14ac:dyDescent="0.3">
      <c r="A151" s="1">
        <v>150</v>
      </c>
      <c r="B151" s="1" t="s">
        <v>16</v>
      </c>
      <c r="C151">
        <v>202.5</v>
      </c>
      <c r="D151">
        <v>225</v>
      </c>
      <c r="E151">
        <v>1.5</v>
      </c>
      <c r="F151">
        <v>2</v>
      </c>
      <c r="G151">
        <v>22</v>
      </c>
      <c r="H151">
        <v>24</v>
      </c>
      <c r="I151">
        <v>1.78842863392857</v>
      </c>
      <c r="J151">
        <v>23.419738375111901</v>
      </c>
      <c r="K151">
        <v>216.30357142857099</v>
      </c>
      <c r="L151">
        <v>56</v>
      </c>
      <c r="M151" s="11">
        <f t="shared" si="6"/>
        <v>1.3992059506230214E-4</v>
      </c>
      <c r="N151" s="12">
        <f t="shared" si="7"/>
        <v>5.1071017197740286E-2</v>
      </c>
    </row>
    <row r="152" spans="1:14" x14ac:dyDescent="0.3">
      <c r="A152" s="1">
        <v>151</v>
      </c>
      <c r="B152" s="1" t="s">
        <v>14</v>
      </c>
      <c r="C152">
        <v>157.5</v>
      </c>
      <c r="D152">
        <v>180</v>
      </c>
      <c r="E152">
        <v>1.5</v>
      </c>
      <c r="F152">
        <v>2</v>
      </c>
      <c r="G152">
        <v>14</v>
      </c>
      <c r="H152">
        <v>16</v>
      </c>
      <c r="I152">
        <v>1.6968800799999999</v>
      </c>
      <c r="J152">
        <v>15.764498922375299</v>
      </c>
      <c r="K152">
        <v>172.84</v>
      </c>
      <c r="L152">
        <v>50</v>
      </c>
      <c r="M152" s="11">
        <f t="shared" si="6"/>
        <v>1.2492910273419834E-4</v>
      </c>
      <c r="N152" s="12">
        <f t="shared" si="7"/>
        <v>4.5599122497982397E-2</v>
      </c>
    </row>
    <row r="153" spans="1:14" x14ac:dyDescent="0.3">
      <c r="A153" s="1">
        <v>152</v>
      </c>
      <c r="B153" s="1" t="s">
        <v>16</v>
      </c>
      <c r="C153">
        <v>202.5</v>
      </c>
      <c r="D153">
        <v>225</v>
      </c>
      <c r="E153">
        <v>4</v>
      </c>
      <c r="F153">
        <v>4.5</v>
      </c>
      <c r="G153">
        <v>14</v>
      </c>
      <c r="H153">
        <v>16</v>
      </c>
      <c r="I153">
        <v>4.1000001574468001</v>
      </c>
      <c r="J153">
        <v>15.4718862555911</v>
      </c>
      <c r="K153">
        <v>206.44680851063799</v>
      </c>
      <c r="L153">
        <v>47</v>
      </c>
      <c r="M153" s="11">
        <f t="shared" si="6"/>
        <v>1.1743335657014644E-4</v>
      </c>
      <c r="N153" s="12">
        <f t="shared" si="7"/>
        <v>4.286317514810345E-2</v>
      </c>
    </row>
    <row r="154" spans="1:14" x14ac:dyDescent="0.3">
      <c r="A154" s="1">
        <v>153</v>
      </c>
      <c r="B154" s="1" t="s">
        <v>17</v>
      </c>
      <c r="C154">
        <v>225</v>
      </c>
      <c r="D154">
        <v>247.5</v>
      </c>
      <c r="E154">
        <v>2</v>
      </c>
      <c r="F154">
        <v>2.5</v>
      </c>
      <c r="G154">
        <v>20</v>
      </c>
      <c r="H154">
        <v>22</v>
      </c>
      <c r="I154">
        <v>2.2695745234042501</v>
      </c>
      <c r="J154">
        <v>21.0726250755134</v>
      </c>
      <c r="K154">
        <v>228.191489361702</v>
      </c>
      <c r="L154">
        <v>47</v>
      </c>
      <c r="M154" s="11">
        <f t="shared" si="6"/>
        <v>1.1743335657014644E-4</v>
      </c>
      <c r="N154" s="12">
        <f t="shared" si="7"/>
        <v>4.286317514810345E-2</v>
      </c>
    </row>
    <row r="155" spans="1:14" x14ac:dyDescent="0.3">
      <c r="A155" s="1">
        <v>154</v>
      </c>
      <c r="B155" s="1" t="s">
        <v>18</v>
      </c>
      <c r="C155">
        <v>247.5</v>
      </c>
      <c r="D155">
        <v>270</v>
      </c>
      <c r="E155">
        <v>1</v>
      </c>
      <c r="F155">
        <v>1.5</v>
      </c>
      <c r="G155">
        <v>16</v>
      </c>
      <c r="H155">
        <v>18</v>
      </c>
      <c r="I155">
        <v>1.3828936787234001</v>
      </c>
      <c r="J155">
        <v>16.630177502684798</v>
      </c>
      <c r="K155">
        <v>259.89361702127599</v>
      </c>
      <c r="L155">
        <v>47</v>
      </c>
      <c r="M155" s="11">
        <f t="shared" si="6"/>
        <v>1.1743335657014644E-4</v>
      </c>
      <c r="N155" s="12">
        <f t="shared" si="7"/>
        <v>4.286317514810345E-2</v>
      </c>
    </row>
    <row r="156" spans="1:14" x14ac:dyDescent="0.3">
      <c r="A156" s="1">
        <v>155</v>
      </c>
      <c r="B156" s="1" t="s">
        <v>20</v>
      </c>
      <c r="C156">
        <v>292.5</v>
      </c>
      <c r="D156">
        <v>315</v>
      </c>
      <c r="E156">
        <v>2.5</v>
      </c>
      <c r="F156">
        <v>3</v>
      </c>
      <c r="G156">
        <v>18</v>
      </c>
      <c r="H156">
        <v>20</v>
      </c>
      <c r="I156">
        <v>2.6182174826086899</v>
      </c>
      <c r="J156">
        <v>19.251099733927301</v>
      </c>
      <c r="K156">
        <v>301.71739130434702</v>
      </c>
      <c r="L156">
        <v>46</v>
      </c>
      <c r="M156" s="11">
        <f t="shared" si="6"/>
        <v>1.1493477451546247E-4</v>
      </c>
      <c r="N156" s="12">
        <f t="shared" si="7"/>
        <v>4.1951192698143805E-2</v>
      </c>
    </row>
    <row r="157" spans="1:14" x14ac:dyDescent="0.3">
      <c r="A157" s="1">
        <v>156</v>
      </c>
      <c r="B157" s="1" t="s">
        <v>14</v>
      </c>
      <c r="C157">
        <v>157.5</v>
      </c>
      <c r="D157">
        <v>180</v>
      </c>
      <c r="E157">
        <v>2.5</v>
      </c>
      <c r="F157">
        <v>3</v>
      </c>
      <c r="G157">
        <v>10</v>
      </c>
      <c r="H157">
        <v>12</v>
      </c>
      <c r="I157">
        <v>2.67786675555555</v>
      </c>
      <c r="J157">
        <v>10.5297150985154</v>
      </c>
      <c r="K157">
        <v>179.35555555555499</v>
      </c>
      <c r="L157">
        <v>45</v>
      </c>
      <c r="M157" s="11">
        <f t="shared" si="6"/>
        <v>1.1243619246077851E-4</v>
      </c>
      <c r="N157" s="12">
        <f t="shared" si="7"/>
        <v>4.1039210248184153E-2</v>
      </c>
    </row>
    <row r="158" spans="1:14" x14ac:dyDescent="0.3">
      <c r="A158" s="1">
        <v>157</v>
      </c>
      <c r="B158" s="1" t="s">
        <v>14</v>
      </c>
      <c r="C158">
        <v>157.5</v>
      </c>
      <c r="D158">
        <v>180</v>
      </c>
      <c r="E158">
        <v>1</v>
      </c>
      <c r="F158">
        <v>1.5</v>
      </c>
      <c r="G158">
        <v>12</v>
      </c>
      <c r="H158">
        <v>14</v>
      </c>
      <c r="I158">
        <v>1.30923814761904</v>
      </c>
      <c r="J158">
        <v>13.1570833439241</v>
      </c>
      <c r="K158">
        <v>171.809523809523</v>
      </c>
      <c r="L158">
        <v>42</v>
      </c>
      <c r="M158" s="11">
        <f t="shared" si="6"/>
        <v>1.0494044629672661E-4</v>
      </c>
      <c r="N158" s="12">
        <f t="shared" si="7"/>
        <v>3.8303262898305213E-2</v>
      </c>
    </row>
    <row r="159" spans="1:14" x14ac:dyDescent="0.3">
      <c r="A159" s="1">
        <v>158</v>
      </c>
      <c r="B159" s="1" t="s">
        <v>16</v>
      </c>
      <c r="C159">
        <v>202.5</v>
      </c>
      <c r="D159">
        <v>225</v>
      </c>
      <c r="E159">
        <v>2</v>
      </c>
      <c r="F159">
        <v>2.5</v>
      </c>
      <c r="G159">
        <v>22</v>
      </c>
      <c r="H159">
        <v>24</v>
      </c>
      <c r="I159">
        <v>2.1867143642857099</v>
      </c>
      <c r="J159">
        <v>23.129010831182502</v>
      </c>
      <c r="K159">
        <v>215.07142857142799</v>
      </c>
      <c r="L159">
        <v>42</v>
      </c>
      <c r="M159" s="11">
        <f t="shared" si="6"/>
        <v>1.0494044629672661E-4</v>
      </c>
      <c r="N159" s="12">
        <f t="shared" si="7"/>
        <v>3.8303262898305213E-2</v>
      </c>
    </row>
    <row r="160" spans="1:14" x14ac:dyDescent="0.3">
      <c r="A160" s="1">
        <v>159</v>
      </c>
      <c r="B160" s="1" t="s">
        <v>17</v>
      </c>
      <c r="C160">
        <v>225</v>
      </c>
      <c r="D160">
        <v>247.5</v>
      </c>
      <c r="E160">
        <v>2</v>
      </c>
      <c r="F160">
        <v>2.5</v>
      </c>
      <c r="G160">
        <v>10</v>
      </c>
      <c r="H160">
        <v>12</v>
      </c>
      <c r="I160">
        <v>2.1246667452380898</v>
      </c>
      <c r="J160">
        <v>11.536186431369901</v>
      </c>
      <c r="K160">
        <v>229.40476190476099</v>
      </c>
      <c r="L160">
        <v>42</v>
      </c>
      <c r="M160" s="11">
        <f t="shared" si="6"/>
        <v>1.0494044629672661E-4</v>
      </c>
      <c r="N160" s="12">
        <f t="shared" si="7"/>
        <v>3.8303262898305213E-2</v>
      </c>
    </row>
    <row r="161" spans="1:14" x14ac:dyDescent="0.3">
      <c r="A161" s="1">
        <v>160</v>
      </c>
      <c r="B161" s="1" t="s">
        <v>16</v>
      </c>
      <c r="C161">
        <v>202.5</v>
      </c>
      <c r="D161">
        <v>225</v>
      </c>
      <c r="E161">
        <v>2</v>
      </c>
      <c r="F161">
        <v>2.5</v>
      </c>
      <c r="G161">
        <v>4</v>
      </c>
      <c r="H161">
        <v>6</v>
      </c>
      <c r="I161">
        <v>2.1535898282051198</v>
      </c>
      <c r="J161">
        <v>5.0393667578440304</v>
      </c>
      <c r="K161">
        <v>210.58974358974299</v>
      </c>
      <c r="L161">
        <v>39</v>
      </c>
      <c r="M161" s="11">
        <f t="shared" si="6"/>
        <v>9.7444700132674706E-5</v>
      </c>
      <c r="N161" s="12">
        <f t="shared" si="7"/>
        <v>3.5567315548426265E-2</v>
      </c>
    </row>
    <row r="162" spans="1:14" x14ac:dyDescent="0.3">
      <c r="A162" s="1">
        <v>161</v>
      </c>
      <c r="B162" s="1" t="s">
        <v>16</v>
      </c>
      <c r="C162">
        <v>202.5</v>
      </c>
      <c r="D162">
        <v>225</v>
      </c>
      <c r="E162">
        <v>2.5</v>
      </c>
      <c r="F162">
        <v>3</v>
      </c>
      <c r="G162">
        <v>22</v>
      </c>
      <c r="H162">
        <v>24</v>
      </c>
      <c r="I162">
        <v>2.7302632526315702</v>
      </c>
      <c r="J162">
        <v>23.138359201526001</v>
      </c>
      <c r="K162">
        <v>214.63157894736801</v>
      </c>
      <c r="L162">
        <v>38</v>
      </c>
      <c r="M162" s="11">
        <f t="shared" si="6"/>
        <v>9.494611807799074E-5</v>
      </c>
      <c r="N162" s="12">
        <f t="shared" si="7"/>
        <v>3.465533309846662E-2</v>
      </c>
    </row>
    <row r="163" spans="1:14" x14ac:dyDescent="0.3">
      <c r="A163" s="1">
        <v>162</v>
      </c>
      <c r="B163" s="1" t="s">
        <v>17</v>
      </c>
      <c r="C163">
        <v>225</v>
      </c>
      <c r="D163">
        <v>247.5</v>
      </c>
      <c r="E163">
        <v>1.5</v>
      </c>
      <c r="F163">
        <v>2</v>
      </c>
      <c r="G163">
        <v>20</v>
      </c>
      <c r="H163">
        <v>22</v>
      </c>
      <c r="I163">
        <v>1.87110534736842</v>
      </c>
      <c r="J163">
        <v>21.116620371660598</v>
      </c>
      <c r="K163">
        <v>228.157894736842</v>
      </c>
      <c r="L163">
        <v>38</v>
      </c>
      <c r="M163" s="11">
        <f t="shared" si="6"/>
        <v>9.494611807799074E-5</v>
      </c>
      <c r="N163" s="12">
        <f t="shared" si="7"/>
        <v>3.465533309846662E-2</v>
      </c>
    </row>
    <row r="164" spans="1:14" x14ac:dyDescent="0.3">
      <c r="A164" s="1">
        <v>163</v>
      </c>
      <c r="B164" s="1" t="s">
        <v>14</v>
      </c>
      <c r="C164">
        <v>157.5</v>
      </c>
      <c r="D164">
        <v>180</v>
      </c>
      <c r="E164">
        <v>0.5</v>
      </c>
      <c r="F164">
        <v>1</v>
      </c>
      <c r="G164">
        <v>4</v>
      </c>
      <c r="H164">
        <v>6</v>
      </c>
      <c r="I164">
        <v>0.74778381810810801</v>
      </c>
      <c r="J164">
        <v>4.9416902713283504</v>
      </c>
      <c r="K164">
        <v>172.27027027027</v>
      </c>
      <c r="L164">
        <v>37</v>
      </c>
      <c r="M164" s="11">
        <f t="shared" si="6"/>
        <v>9.2447536023306773E-5</v>
      </c>
      <c r="N164" s="12">
        <f t="shared" si="7"/>
        <v>3.3743350648506976E-2</v>
      </c>
    </row>
    <row r="165" spans="1:14" x14ac:dyDescent="0.3">
      <c r="A165" s="1">
        <v>164</v>
      </c>
      <c r="B165" s="1" t="s">
        <v>15</v>
      </c>
      <c r="C165">
        <v>180</v>
      </c>
      <c r="D165">
        <v>202.5</v>
      </c>
      <c r="E165">
        <v>3</v>
      </c>
      <c r="F165">
        <v>3.5</v>
      </c>
      <c r="G165">
        <v>20</v>
      </c>
      <c r="H165">
        <v>22</v>
      </c>
      <c r="I165">
        <v>3.1261667833333302</v>
      </c>
      <c r="J165">
        <v>20.912300931881099</v>
      </c>
      <c r="K165">
        <v>198.444444444444</v>
      </c>
      <c r="L165">
        <v>36</v>
      </c>
      <c r="M165" s="11">
        <f t="shared" si="6"/>
        <v>8.9948953968622806E-5</v>
      </c>
      <c r="N165" s="12">
        <f t="shared" si="7"/>
        <v>3.2831368198547324E-2</v>
      </c>
    </row>
    <row r="166" spans="1:14" x14ac:dyDescent="0.3">
      <c r="A166" s="1">
        <v>165</v>
      </c>
      <c r="B166" s="1" t="s">
        <v>15</v>
      </c>
      <c r="C166">
        <v>180</v>
      </c>
      <c r="D166">
        <v>202.5</v>
      </c>
      <c r="E166">
        <v>0.5</v>
      </c>
      <c r="F166">
        <v>1</v>
      </c>
      <c r="G166">
        <v>6</v>
      </c>
      <c r="H166">
        <v>8</v>
      </c>
      <c r="I166">
        <v>0.6235625253125</v>
      </c>
      <c r="J166">
        <v>6.2864688837821303</v>
      </c>
      <c r="K166">
        <v>191.46875</v>
      </c>
      <c r="L166">
        <v>32</v>
      </c>
      <c r="M166" s="11">
        <f t="shared" si="6"/>
        <v>7.9954625749886939E-5</v>
      </c>
      <c r="N166" s="12">
        <f t="shared" si="7"/>
        <v>2.9183438398708732E-2</v>
      </c>
    </row>
    <row r="167" spans="1:14" x14ac:dyDescent="0.3">
      <c r="A167" s="1">
        <v>166</v>
      </c>
      <c r="B167" s="1" t="s">
        <v>15</v>
      </c>
      <c r="C167">
        <v>180</v>
      </c>
      <c r="D167">
        <v>202.5</v>
      </c>
      <c r="E167">
        <v>1.5</v>
      </c>
      <c r="F167">
        <v>2</v>
      </c>
      <c r="G167">
        <v>20</v>
      </c>
      <c r="H167">
        <v>22</v>
      </c>
      <c r="I167">
        <v>1.7850000749999999</v>
      </c>
      <c r="J167">
        <v>21.127161040279201</v>
      </c>
      <c r="K167">
        <v>198.15625</v>
      </c>
      <c r="L167">
        <v>32</v>
      </c>
      <c r="M167" s="11">
        <f t="shared" si="6"/>
        <v>7.9954625749886939E-5</v>
      </c>
      <c r="N167" s="12">
        <f t="shared" si="7"/>
        <v>2.9183438398708732E-2</v>
      </c>
    </row>
    <row r="168" spans="1:14" x14ac:dyDescent="0.3">
      <c r="A168" s="1">
        <v>167</v>
      </c>
      <c r="B168" s="1" t="s">
        <v>15</v>
      </c>
      <c r="C168">
        <v>180</v>
      </c>
      <c r="D168">
        <v>202.5</v>
      </c>
      <c r="E168">
        <v>4</v>
      </c>
      <c r="F168">
        <v>4.5</v>
      </c>
      <c r="G168">
        <v>8</v>
      </c>
      <c r="H168">
        <v>10</v>
      </c>
      <c r="I168">
        <v>4.0989678709677397</v>
      </c>
      <c r="J168">
        <v>9.7036754871729194</v>
      </c>
      <c r="K168">
        <v>183.322580645161</v>
      </c>
      <c r="L168">
        <v>31</v>
      </c>
      <c r="M168" s="11">
        <f t="shared" si="6"/>
        <v>7.7456043695202972E-5</v>
      </c>
      <c r="N168" s="12">
        <f t="shared" si="7"/>
        <v>2.8271455948749084E-2</v>
      </c>
    </row>
    <row r="169" spans="1:14" x14ac:dyDescent="0.3">
      <c r="A169" s="1">
        <v>168</v>
      </c>
      <c r="B169" s="1" t="s">
        <v>19</v>
      </c>
      <c r="C169">
        <v>270</v>
      </c>
      <c r="D169">
        <v>292.5</v>
      </c>
      <c r="E169">
        <v>2.5</v>
      </c>
      <c r="F169">
        <v>3</v>
      </c>
      <c r="G169">
        <v>16</v>
      </c>
      <c r="H169">
        <v>18</v>
      </c>
      <c r="I169">
        <v>2.6638065516128999</v>
      </c>
      <c r="J169">
        <v>17.349506340416202</v>
      </c>
      <c r="K169">
        <v>283.38709677419303</v>
      </c>
      <c r="L169">
        <v>31</v>
      </c>
      <c r="M169" s="11">
        <f t="shared" si="6"/>
        <v>7.7456043695202972E-5</v>
      </c>
      <c r="N169" s="12">
        <f t="shared" si="7"/>
        <v>2.8271455948749084E-2</v>
      </c>
    </row>
    <row r="170" spans="1:14" x14ac:dyDescent="0.3">
      <c r="A170" s="1">
        <v>169</v>
      </c>
      <c r="B170" s="1" t="s">
        <v>16</v>
      </c>
      <c r="C170">
        <v>202.5</v>
      </c>
      <c r="D170">
        <v>225</v>
      </c>
      <c r="E170">
        <v>3.5</v>
      </c>
      <c r="F170">
        <v>4</v>
      </c>
      <c r="G170">
        <v>20</v>
      </c>
      <c r="H170">
        <v>22</v>
      </c>
      <c r="I170">
        <v>3.6942070758620602</v>
      </c>
      <c r="J170">
        <v>20.988718005538502</v>
      </c>
      <c r="K170">
        <v>213.03448275861999</v>
      </c>
      <c r="L170">
        <v>29</v>
      </c>
      <c r="M170" s="11">
        <f t="shared" si="6"/>
        <v>7.2458879585835038E-5</v>
      </c>
      <c r="N170" s="12">
        <f t="shared" si="7"/>
        <v>2.6447491048829787E-2</v>
      </c>
    </row>
    <row r="171" spans="1:14" x14ac:dyDescent="0.3">
      <c r="A171" s="1">
        <v>170</v>
      </c>
      <c r="B171" s="1" t="s">
        <v>17</v>
      </c>
      <c r="C171">
        <v>225</v>
      </c>
      <c r="D171">
        <v>247.5</v>
      </c>
      <c r="E171">
        <v>3</v>
      </c>
      <c r="F171">
        <v>3.5</v>
      </c>
      <c r="G171">
        <v>18</v>
      </c>
      <c r="H171">
        <v>20</v>
      </c>
      <c r="I171">
        <v>3.15206908275862</v>
      </c>
      <c r="J171">
        <v>19.224039808063999</v>
      </c>
      <c r="K171">
        <v>232.068965517241</v>
      </c>
      <c r="L171">
        <v>29</v>
      </c>
      <c r="M171" s="11">
        <f t="shared" si="6"/>
        <v>7.2458879585835038E-5</v>
      </c>
      <c r="N171" s="12">
        <f t="shared" si="7"/>
        <v>2.6447491048829787E-2</v>
      </c>
    </row>
    <row r="172" spans="1:14" x14ac:dyDescent="0.3">
      <c r="A172" s="1">
        <v>171</v>
      </c>
      <c r="B172" s="1" t="s">
        <v>16</v>
      </c>
      <c r="C172">
        <v>202.5</v>
      </c>
      <c r="D172">
        <v>225</v>
      </c>
      <c r="E172">
        <v>1</v>
      </c>
      <c r="F172">
        <v>1.5</v>
      </c>
      <c r="G172">
        <v>20</v>
      </c>
      <c r="H172">
        <v>22</v>
      </c>
      <c r="I172">
        <v>1.36184621538461</v>
      </c>
      <c r="J172">
        <v>21.2090964864732</v>
      </c>
      <c r="K172">
        <v>219.30769230769201</v>
      </c>
      <c r="L172">
        <v>26</v>
      </c>
      <c r="M172" s="11">
        <f t="shared" si="6"/>
        <v>6.4963133421783138E-5</v>
      </c>
      <c r="N172" s="12">
        <f t="shared" si="7"/>
        <v>2.3711543698950847E-2</v>
      </c>
    </row>
    <row r="173" spans="1:14" x14ac:dyDescent="0.3">
      <c r="A173" s="1">
        <v>172</v>
      </c>
      <c r="B173" s="1" t="s">
        <v>14</v>
      </c>
      <c r="C173">
        <v>157.5</v>
      </c>
      <c r="D173">
        <v>180</v>
      </c>
      <c r="E173">
        <v>3</v>
      </c>
      <c r="F173">
        <v>3.5</v>
      </c>
      <c r="G173">
        <v>10</v>
      </c>
      <c r="H173">
        <v>12</v>
      </c>
      <c r="I173">
        <v>3.2836801320000002</v>
      </c>
      <c r="J173">
        <v>10.1800239712229</v>
      </c>
      <c r="K173">
        <v>179.12</v>
      </c>
      <c r="L173">
        <v>25</v>
      </c>
      <c r="M173" s="11">
        <f t="shared" si="6"/>
        <v>6.2464551367099171E-5</v>
      </c>
      <c r="N173" s="12">
        <f t="shared" si="7"/>
        <v>2.2799561248991199E-2</v>
      </c>
    </row>
    <row r="174" spans="1:14" x14ac:dyDescent="0.3">
      <c r="A174" s="1">
        <v>173</v>
      </c>
      <c r="B174" s="1" t="s">
        <v>17</v>
      </c>
      <c r="C174">
        <v>225</v>
      </c>
      <c r="D174">
        <v>247.5</v>
      </c>
      <c r="E174">
        <v>1</v>
      </c>
      <c r="F174">
        <v>1.5</v>
      </c>
      <c r="G174">
        <v>18</v>
      </c>
      <c r="H174">
        <v>20</v>
      </c>
      <c r="I174">
        <v>1.3688800400000001</v>
      </c>
      <c r="J174">
        <v>19.2675161272333</v>
      </c>
      <c r="K174">
        <v>234.88</v>
      </c>
      <c r="L174">
        <v>25</v>
      </c>
      <c r="M174" s="11">
        <f t="shared" si="6"/>
        <v>6.2464551367099171E-5</v>
      </c>
      <c r="N174" s="12">
        <f t="shared" si="7"/>
        <v>2.2799561248991199E-2</v>
      </c>
    </row>
    <row r="175" spans="1:14" x14ac:dyDescent="0.3">
      <c r="A175" s="1">
        <v>174</v>
      </c>
      <c r="B175" s="1" t="s">
        <v>15</v>
      </c>
      <c r="C175">
        <v>180</v>
      </c>
      <c r="D175">
        <v>202.5</v>
      </c>
      <c r="E175">
        <v>4.5</v>
      </c>
      <c r="F175">
        <v>5</v>
      </c>
      <c r="G175">
        <v>14</v>
      </c>
      <c r="H175">
        <v>16</v>
      </c>
      <c r="I175">
        <v>4.7130834708333298</v>
      </c>
      <c r="J175">
        <v>15.323374514889</v>
      </c>
      <c r="K175">
        <v>199.75</v>
      </c>
      <c r="L175">
        <v>24</v>
      </c>
      <c r="M175" s="11">
        <f t="shared" si="6"/>
        <v>5.9965969312415204E-5</v>
      </c>
      <c r="N175" s="12">
        <f t="shared" si="7"/>
        <v>2.1887578799031551E-2</v>
      </c>
    </row>
    <row r="176" spans="1:14" x14ac:dyDescent="0.3">
      <c r="A176" s="1">
        <v>175</v>
      </c>
      <c r="B176" s="1" t="s">
        <v>15</v>
      </c>
      <c r="C176">
        <v>180</v>
      </c>
      <c r="D176">
        <v>202.5</v>
      </c>
      <c r="E176">
        <v>4</v>
      </c>
      <c r="F176">
        <v>4.5</v>
      </c>
      <c r="G176">
        <v>18</v>
      </c>
      <c r="H176">
        <v>20</v>
      </c>
      <c r="I176">
        <v>4.1552174652173903</v>
      </c>
      <c r="J176">
        <v>18.967808173253498</v>
      </c>
      <c r="K176">
        <v>200.52173913043401</v>
      </c>
      <c r="L176">
        <v>23</v>
      </c>
      <c r="M176" s="11">
        <f t="shared" si="6"/>
        <v>5.7467387257731237E-5</v>
      </c>
      <c r="N176" s="12">
        <f t="shared" si="7"/>
        <v>2.0975596349071902E-2</v>
      </c>
    </row>
    <row r="177" spans="1:14" x14ac:dyDescent="0.3">
      <c r="A177" s="1">
        <v>176</v>
      </c>
      <c r="B177" s="1" t="s">
        <v>19</v>
      </c>
      <c r="C177">
        <v>270</v>
      </c>
      <c r="D177">
        <v>292.5</v>
      </c>
      <c r="E177">
        <v>1</v>
      </c>
      <c r="F177">
        <v>1.5</v>
      </c>
      <c r="G177">
        <v>18</v>
      </c>
      <c r="H177">
        <v>20</v>
      </c>
      <c r="I177">
        <v>1.40347831304347</v>
      </c>
      <c r="J177">
        <v>19.172516595415399</v>
      </c>
      <c r="K177">
        <v>284.434782608695</v>
      </c>
      <c r="L177">
        <v>23</v>
      </c>
      <c r="M177" s="11">
        <f t="shared" si="6"/>
        <v>5.7467387257731237E-5</v>
      </c>
      <c r="N177" s="12">
        <f t="shared" si="7"/>
        <v>2.0975596349071902E-2</v>
      </c>
    </row>
    <row r="178" spans="1:14" x14ac:dyDescent="0.3">
      <c r="A178" s="1">
        <v>177</v>
      </c>
      <c r="B178" s="1" t="s">
        <v>20</v>
      </c>
      <c r="C178">
        <v>292.5</v>
      </c>
      <c r="D178">
        <v>315</v>
      </c>
      <c r="E178">
        <v>1</v>
      </c>
      <c r="F178">
        <v>1.5</v>
      </c>
      <c r="G178">
        <v>12</v>
      </c>
      <c r="H178">
        <v>14</v>
      </c>
      <c r="I178">
        <v>1.2346087391304299</v>
      </c>
      <c r="J178">
        <v>13.1445487719454</v>
      </c>
      <c r="K178">
        <v>294.26086956521698</v>
      </c>
      <c r="L178">
        <v>23</v>
      </c>
      <c r="M178" s="11">
        <f t="shared" si="6"/>
        <v>5.7467387257731237E-5</v>
      </c>
      <c r="N178" s="12">
        <f t="shared" si="7"/>
        <v>2.0975596349071902E-2</v>
      </c>
    </row>
    <row r="179" spans="1:14" x14ac:dyDescent="0.3">
      <c r="A179" s="1">
        <v>178</v>
      </c>
      <c r="B179" s="1" t="s">
        <v>20</v>
      </c>
      <c r="C179">
        <v>292.5</v>
      </c>
      <c r="D179">
        <v>315</v>
      </c>
      <c r="E179">
        <v>1</v>
      </c>
      <c r="F179">
        <v>1.5</v>
      </c>
      <c r="G179">
        <v>22</v>
      </c>
      <c r="H179">
        <v>24</v>
      </c>
      <c r="I179">
        <v>1.3612174478260799</v>
      </c>
      <c r="J179">
        <v>23.449501748803002</v>
      </c>
      <c r="K179">
        <v>303.26086956521698</v>
      </c>
      <c r="L179">
        <v>23</v>
      </c>
      <c r="M179" s="11">
        <f t="shared" si="6"/>
        <v>5.7467387257731237E-5</v>
      </c>
      <c r="N179" s="12">
        <f t="shared" si="7"/>
        <v>2.0975596349071902E-2</v>
      </c>
    </row>
    <row r="180" spans="1:14" x14ac:dyDescent="0.3">
      <c r="A180" s="1">
        <v>179</v>
      </c>
      <c r="B180" s="1" t="s">
        <v>19</v>
      </c>
      <c r="C180">
        <v>270</v>
      </c>
      <c r="D180">
        <v>292.5</v>
      </c>
      <c r="E180">
        <v>1.5</v>
      </c>
      <c r="F180">
        <v>2</v>
      </c>
      <c r="G180">
        <v>12</v>
      </c>
      <c r="H180">
        <v>14</v>
      </c>
      <c r="I180">
        <v>1.71663644090909</v>
      </c>
      <c r="J180">
        <v>13.534061212259701</v>
      </c>
      <c r="K180">
        <v>279.72727272727201</v>
      </c>
      <c r="L180">
        <v>22</v>
      </c>
      <c r="M180" s="11">
        <f t="shared" si="6"/>
        <v>5.496880520304727E-5</v>
      </c>
      <c r="N180" s="12">
        <f t="shared" si="7"/>
        <v>2.0063613899112254E-2</v>
      </c>
    </row>
    <row r="181" spans="1:14" x14ac:dyDescent="0.3">
      <c r="A181" s="1">
        <v>180</v>
      </c>
      <c r="B181" s="1" t="s">
        <v>18</v>
      </c>
      <c r="C181">
        <v>247.5</v>
      </c>
      <c r="D181">
        <v>270</v>
      </c>
      <c r="E181">
        <v>2.5</v>
      </c>
      <c r="F181">
        <v>3</v>
      </c>
      <c r="G181">
        <v>18</v>
      </c>
      <c r="H181">
        <v>20</v>
      </c>
      <c r="I181">
        <v>2.8175238904761901</v>
      </c>
      <c r="J181">
        <v>19.051066968286801</v>
      </c>
      <c r="K181">
        <v>256.09523809523802</v>
      </c>
      <c r="L181">
        <v>21</v>
      </c>
      <c r="M181" s="11">
        <f t="shared" si="6"/>
        <v>5.2470223148363303E-5</v>
      </c>
      <c r="N181" s="12">
        <f t="shared" si="7"/>
        <v>1.9151631449152606E-2</v>
      </c>
    </row>
    <row r="182" spans="1:14" x14ac:dyDescent="0.3">
      <c r="A182" s="1">
        <v>181</v>
      </c>
      <c r="B182" s="1" t="s">
        <v>16</v>
      </c>
      <c r="C182">
        <v>202.5</v>
      </c>
      <c r="D182">
        <v>225</v>
      </c>
      <c r="E182">
        <v>4.5</v>
      </c>
      <c r="F182">
        <v>5</v>
      </c>
      <c r="G182">
        <v>18</v>
      </c>
      <c r="H182">
        <v>20</v>
      </c>
      <c r="I182">
        <v>4.6027001749999998</v>
      </c>
      <c r="J182">
        <v>18.491945701549501</v>
      </c>
      <c r="K182">
        <v>210.95</v>
      </c>
      <c r="L182">
        <v>20</v>
      </c>
      <c r="M182" s="11">
        <f t="shared" si="6"/>
        <v>4.9971641093679337E-5</v>
      </c>
      <c r="N182" s="12">
        <f t="shared" si="7"/>
        <v>1.8239648999192958E-2</v>
      </c>
    </row>
    <row r="183" spans="1:14" x14ac:dyDescent="0.3">
      <c r="A183" s="1">
        <v>182</v>
      </c>
      <c r="B183" s="1" t="s">
        <v>14</v>
      </c>
      <c r="C183">
        <v>157.5</v>
      </c>
      <c r="D183">
        <v>180</v>
      </c>
      <c r="E183">
        <v>3</v>
      </c>
      <c r="F183">
        <v>3.5</v>
      </c>
      <c r="G183">
        <v>6</v>
      </c>
      <c r="H183">
        <v>8</v>
      </c>
      <c r="I183">
        <v>3.1595790947368401</v>
      </c>
      <c r="J183">
        <v>7.8179904240840399</v>
      </c>
      <c r="K183">
        <v>174.52631578947299</v>
      </c>
      <c r="L183">
        <v>19</v>
      </c>
      <c r="M183" s="11">
        <f t="shared" si="6"/>
        <v>4.747305903899537E-5</v>
      </c>
      <c r="N183" s="12">
        <f t="shared" si="7"/>
        <v>1.732766654923331E-2</v>
      </c>
    </row>
    <row r="184" spans="1:14" x14ac:dyDescent="0.3">
      <c r="A184" s="1">
        <v>183</v>
      </c>
      <c r="B184" s="1" t="s">
        <v>14</v>
      </c>
      <c r="C184">
        <v>157.5</v>
      </c>
      <c r="D184">
        <v>180</v>
      </c>
      <c r="E184">
        <v>4</v>
      </c>
      <c r="F184">
        <v>4.5</v>
      </c>
      <c r="G184">
        <v>8</v>
      </c>
      <c r="H184">
        <v>10</v>
      </c>
      <c r="I184">
        <v>4.21157906315789</v>
      </c>
      <c r="J184">
        <v>9.7017939238403805</v>
      </c>
      <c r="K184">
        <v>175.210526315789</v>
      </c>
      <c r="L184">
        <v>19</v>
      </c>
      <c r="M184" s="11">
        <f t="shared" si="6"/>
        <v>4.747305903899537E-5</v>
      </c>
      <c r="N184" s="12">
        <f t="shared" si="7"/>
        <v>1.732766654923331E-2</v>
      </c>
    </row>
    <row r="185" spans="1:14" x14ac:dyDescent="0.3">
      <c r="A185" s="1">
        <v>184</v>
      </c>
      <c r="B185" s="1" t="s">
        <v>15</v>
      </c>
      <c r="C185">
        <v>180</v>
      </c>
      <c r="D185">
        <v>202.5</v>
      </c>
      <c r="E185">
        <v>1</v>
      </c>
      <c r="F185">
        <v>1.5</v>
      </c>
      <c r="G185">
        <v>6</v>
      </c>
      <c r="H185">
        <v>8</v>
      </c>
      <c r="I185">
        <v>1.3604445055555501</v>
      </c>
      <c r="J185">
        <v>7.5022956060509998</v>
      </c>
      <c r="K185">
        <v>184.388888888888</v>
      </c>
      <c r="L185">
        <v>18</v>
      </c>
      <c r="M185" s="11">
        <f t="shared" si="6"/>
        <v>4.4974476984311403E-5</v>
      </c>
      <c r="N185" s="12">
        <f t="shared" si="7"/>
        <v>1.6415684099273662E-2</v>
      </c>
    </row>
    <row r="186" spans="1:14" x14ac:dyDescent="0.3">
      <c r="A186" s="1">
        <v>185</v>
      </c>
      <c r="B186" s="1" t="s">
        <v>16</v>
      </c>
      <c r="C186">
        <v>202.5</v>
      </c>
      <c r="D186">
        <v>225</v>
      </c>
      <c r="E186">
        <v>1.5</v>
      </c>
      <c r="F186">
        <v>2</v>
      </c>
      <c r="G186">
        <v>6</v>
      </c>
      <c r="H186">
        <v>8</v>
      </c>
      <c r="I186">
        <v>1.8565556277777699</v>
      </c>
      <c r="J186">
        <v>6.1714353660635304</v>
      </c>
      <c r="K186">
        <v>206.722222222222</v>
      </c>
      <c r="L186">
        <v>18</v>
      </c>
      <c r="M186" s="11">
        <f t="shared" si="6"/>
        <v>4.4974476984311403E-5</v>
      </c>
      <c r="N186" s="12">
        <f t="shared" si="7"/>
        <v>1.6415684099273662E-2</v>
      </c>
    </row>
    <row r="187" spans="1:14" x14ac:dyDescent="0.3">
      <c r="A187" s="1">
        <v>186</v>
      </c>
      <c r="B187" s="1" t="s">
        <v>15</v>
      </c>
      <c r="C187">
        <v>180</v>
      </c>
      <c r="D187">
        <v>202.5</v>
      </c>
      <c r="E187">
        <v>3.5</v>
      </c>
      <c r="F187">
        <v>4</v>
      </c>
      <c r="G187">
        <v>20</v>
      </c>
      <c r="H187">
        <v>22</v>
      </c>
      <c r="I187">
        <v>3.77520021333333</v>
      </c>
      <c r="J187">
        <v>21.102987044324401</v>
      </c>
      <c r="K187">
        <v>200.4</v>
      </c>
      <c r="L187">
        <v>15</v>
      </c>
      <c r="M187" s="11">
        <f t="shared" si="6"/>
        <v>3.7478730820259502E-5</v>
      </c>
      <c r="N187" s="12">
        <f t="shared" si="7"/>
        <v>1.3679736749394718E-2</v>
      </c>
    </row>
    <row r="188" spans="1:14" x14ac:dyDescent="0.3">
      <c r="A188" s="1">
        <v>187</v>
      </c>
      <c r="B188" s="1" t="s">
        <v>16</v>
      </c>
      <c r="C188">
        <v>202.5</v>
      </c>
      <c r="D188">
        <v>225</v>
      </c>
      <c r="E188">
        <v>3</v>
      </c>
      <c r="F188">
        <v>3.5</v>
      </c>
      <c r="G188">
        <v>10</v>
      </c>
      <c r="H188">
        <v>12</v>
      </c>
      <c r="I188">
        <v>3.21426679333333</v>
      </c>
      <c r="J188">
        <v>11.8207278589</v>
      </c>
      <c r="K188">
        <v>205.86666666666599</v>
      </c>
      <c r="L188">
        <v>15</v>
      </c>
      <c r="M188" s="11">
        <f t="shared" si="6"/>
        <v>3.7478730820259502E-5</v>
      </c>
      <c r="N188" s="12">
        <f t="shared" si="7"/>
        <v>1.3679736749394718E-2</v>
      </c>
    </row>
    <row r="189" spans="1:14" x14ac:dyDescent="0.3">
      <c r="A189" s="1">
        <v>188</v>
      </c>
      <c r="B189" s="1" t="s">
        <v>19</v>
      </c>
      <c r="C189">
        <v>270</v>
      </c>
      <c r="D189">
        <v>292.5</v>
      </c>
      <c r="E189">
        <v>2</v>
      </c>
      <c r="F189">
        <v>2.5</v>
      </c>
      <c r="G189">
        <v>20</v>
      </c>
      <c r="H189">
        <v>22</v>
      </c>
      <c r="I189">
        <v>2.2860000999999999</v>
      </c>
      <c r="J189">
        <v>21.130046957265399</v>
      </c>
      <c r="K189">
        <v>283</v>
      </c>
      <c r="L189">
        <v>15</v>
      </c>
      <c r="M189" s="11">
        <f t="shared" si="6"/>
        <v>3.7478730820259502E-5</v>
      </c>
      <c r="N189" s="12">
        <f t="shared" si="7"/>
        <v>1.3679736749394718E-2</v>
      </c>
    </row>
    <row r="190" spans="1:14" x14ac:dyDescent="0.3">
      <c r="A190" s="1">
        <v>189</v>
      </c>
      <c r="B190" s="1" t="s">
        <v>14</v>
      </c>
      <c r="C190">
        <v>157.5</v>
      </c>
      <c r="D190">
        <v>180</v>
      </c>
      <c r="E190">
        <v>4.5</v>
      </c>
      <c r="F190">
        <v>5</v>
      </c>
      <c r="G190">
        <v>10</v>
      </c>
      <c r="H190">
        <v>12</v>
      </c>
      <c r="I190">
        <v>4.7120002214285703</v>
      </c>
      <c r="J190">
        <v>10.779785568831601</v>
      </c>
      <c r="K190">
        <v>176.5</v>
      </c>
      <c r="L190">
        <v>14</v>
      </c>
      <c r="M190" s="11">
        <f t="shared" si="6"/>
        <v>3.4980148765575536E-5</v>
      </c>
      <c r="N190" s="12">
        <f t="shared" si="7"/>
        <v>1.2767754299435071E-2</v>
      </c>
    </row>
    <row r="191" spans="1:14" x14ac:dyDescent="0.3">
      <c r="A191" s="1">
        <v>190</v>
      </c>
      <c r="B191" s="1" t="s">
        <v>15</v>
      </c>
      <c r="C191">
        <v>180</v>
      </c>
      <c r="D191">
        <v>202.5</v>
      </c>
      <c r="E191">
        <v>2</v>
      </c>
      <c r="F191">
        <v>2.5</v>
      </c>
      <c r="G191">
        <v>22</v>
      </c>
      <c r="H191">
        <v>24</v>
      </c>
      <c r="I191">
        <v>2.22957154999999</v>
      </c>
      <c r="J191">
        <v>23.341985321765598</v>
      </c>
      <c r="K191">
        <v>192.07142857142799</v>
      </c>
      <c r="L191">
        <v>14</v>
      </c>
      <c r="M191" s="11">
        <f t="shared" si="6"/>
        <v>3.4980148765575536E-5</v>
      </c>
      <c r="N191" s="12">
        <f t="shared" si="7"/>
        <v>1.2767754299435071E-2</v>
      </c>
    </row>
    <row r="192" spans="1:14" x14ac:dyDescent="0.3">
      <c r="A192" s="1">
        <v>191</v>
      </c>
      <c r="B192" s="1" t="s">
        <v>16</v>
      </c>
      <c r="C192">
        <v>202.5</v>
      </c>
      <c r="D192">
        <v>225</v>
      </c>
      <c r="E192">
        <v>2</v>
      </c>
      <c r="F192">
        <v>2.5</v>
      </c>
      <c r="G192">
        <v>6</v>
      </c>
      <c r="H192">
        <v>8</v>
      </c>
      <c r="I192">
        <v>2.11557150714285</v>
      </c>
      <c r="J192">
        <v>6.2906443154806597</v>
      </c>
      <c r="K192">
        <v>213.85714285714201</v>
      </c>
      <c r="L192">
        <v>14</v>
      </c>
      <c r="M192" s="11">
        <f t="shared" si="6"/>
        <v>3.4980148765575536E-5</v>
      </c>
      <c r="N192" s="12">
        <f t="shared" si="7"/>
        <v>1.2767754299435071E-2</v>
      </c>
    </row>
    <row r="193" spans="1:14" x14ac:dyDescent="0.3">
      <c r="A193" s="1">
        <v>192</v>
      </c>
      <c r="B193" s="1" t="s">
        <v>16</v>
      </c>
      <c r="C193">
        <v>202.5</v>
      </c>
      <c r="D193">
        <v>225</v>
      </c>
      <c r="E193">
        <v>3</v>
      </c>
      <c r="F193">
        <v>3.5</v>
      </c>
      <c r="G193">
        <v>22</v>
      </c>
      <c r="H193">
        <v>24</v>
      </c>
      <c r="I193">
        <v>3.1517143642857102</v>
      </c>
      <c r="J193">
        <v>23.338509659767901</v>
      </c>
      <c r="K193">
        <v>215.42857142857099</v>
      </c>
      <c r="L193">
        <v>14</v>
      </c>
      <c r="M193" s="11">
        <f t="shared" si="6"/>
        <v>3.4980148765575536E-5</v>
      </c>
      <c r="N193" s="12">
        <f t="shared" si="7"/>
        <v>1.2767754299435071E-2</v>
      </c>
    </row>
    <row r="194" spans="1:14" x14ac:dyDescent="0.3">
      <c r="A194" s="1">
        <v>193</v>
      </c>
      <c r="B194" s="1" t="s">
        <v>17</v>
      </c>
      <c r="C194">
        <v>225</v>
      </c>
      <c r="D194">
        <v>247.5</v>
      </c>
      <c r="E194">
        <v>2.5</v>
      </c>
      <c r="F194">
        <v>3</v>
      </c>
      <c r="G194">
        <v>20</v>
      </c>
      <c r="H194">
        <v>22</v>
      </c>
      <c r="I194">
        <v>2.66585725714285</v>
      </c>
      <c r="J194">
        <v>21.153993973430499</v>
      </c>
      <c r="K194">
        <v>228.92857142857099</v>
      </c>
      <c r="L194">
        <v>14</v>
      </c>
      <c r="M194" s="11">
        <f t="shared" si="6"/>
        <v>3.4980148765575536E-5</v>
      </c>
      <c r="N194" s="12">
        <f t="shared" si="7"/>
        <v>1.2767754299435071E-2</v>
      </c>
    </row>
    <row r="195" spans="1:14" x14ac:dyDescent="0.3">
      <c r="A195" s="1">
        <v>194</v>
      </c>
      <c r="B195" s="1" t="s">
        <v>19</v>
      </c>
      <c r="C195">
        <v>270</v>
      </c>
      <c r="D195">
        <v>292.5</v>
      </c>
      <c r="E195">
        <v>2.5</v>
      </c>
      <c r="F195">
        <v>3</v>
      </c>
      <c r="G195">
        <v>18</v>
      </c>
      <c r="H195">
        <v>20</v>
      </c>
      <c r="I195">
        <v>2.8210001</v>
      </c>
      <c r="J195">
        <v>18.903504696432599</v>
      </c>
      <c r="K195">
        <v>282.5</v>
      </c>
      <c r="L195">
        <v>14</v>
      </c>
      <c r="M195" s="11">
        <f t="shared" ref="M195:M256" si="8">L195/$P$2</f>
        <v>3.4980148765575536E-5</v>
      </c>
      <c r="N195" s="12">
        <f t="shared" ref="N195:N256" si="9">(365*L195)/$P$2</f>
        <v>1.2767754299435071E-2</v>
      </c>
    </row>
    <row r="196" spans="1:14" x14ac:dyDescent="0.3">
      <c r="A196" s="1">
        <v>195</v>
      </c>
      <c r="B196" s="1" t="s">
        <v>20</v>
      </c>
      <c r="C196">
        <v>292.5</v>
      </c>
      <c r="D196">
        <v>315</v>
      </c>
      <c r="E196">
        <v>2</v>
      </c>
      <c r="F196">
        <v>2.5</v>
      </c>
      <c r="G196">
        <v>22</v>
      </c>
      <c r="H196">
        <v>24</v>
      </c>
      <c r="I196">
        <v>2.08485722857142</v>
      </c>
      <c r="J196">
        <v>23.341985321765598</v>
      </c>
      <c r="K196">
        <v>303.35714285714198</v>
      </c>
      <c r="L196">
        <v>14</v>
      </c>
      <c r="M196" s="11">
        <f t="shared" si="8"/>
        <v>3.4980148765575536E-5</v>
      </c>
      <c r="N196" s="12">
        <f t="shared" si="9"/>
        <v>1.2767754299435071E-2</v>
      </c>
    </row>
    <row r="197" spans="1:14" x14ac:dyDescent="0.3">
      <c r="A197" s="1">
        <v>196</v>
      </c>
      <c r="B197" s="1" t="s">
        <v>14</v>
      </c>
      <c r="C197">
        <v>157.5</v>
      </c>
      <c r="D197">
        <v>180</v>
      </c>
      <c r="E197">
        <v>4</v>
      </c>
      <c r="F197">
        <v>4.5</v>
      </c>
      <c r="G197">
        <v>10</v>
      </c>
      <c r="H197">
        <v>12</v>
      </c>
      <c r="I197">
        <v>4.27138479230769</v>
      </c>
      <c r="J197">
        <v>10.731946647669</v>
      </c>
      <c r="K197">
        <v>175.923076923076</v>
      </c>
      <c r="L197">
        <v>13</v>
      </c>
      <c r="M197" s="11">
        <f t="shared" si="8"/>
        <v>3.2481566710891569E-5</v>
      </c>
      <c r="N197" s="12">
        <f t="shared" si="9"/>
        <v>1.1855771849475423E-2</v>
      </c>
    </row>
    <row r="198" spans="1:14" x14ac:dyDescent="0.3">
      <c r="A198" s="1">
        <v>197</v>
      </c>
      <c r="B198" s="1" t="s">
        <v>15</v>
      </c>
      <c r="C198">
        <v>180</v>
      </c>
      <c r="D198">
        <v>202.5</v>
      </c>
      <c r="E198">
        <v>0.5</v>
      </c>
      <c r="F198">
        <v>1</v>
      </c>
      <c r="G198">
        <v>4</v>
      </c>
      <c r="H198">
        <v>6</v>
      </c>
      <c r="I198">
        <v>0.69907694846153801</v>
      </c>
      <c r="J198">
        <v>5.25714353435274</v>
      </c>
      <c r="K198">
        <v>185.07692307692301</v>
      </c>
      <c r="L198">
        <v>13</v>
      </c>
      <c r="M198" s="11">
        <f t="shared" si="8"/>
        <v>3.2481566710891569E-5</v>
      </c>
      <c r="N198" s="12">
        <f t="shared" si="9"/>
        <v>1.1855771849475423E-2</v>
      </c>
    </row>
    <row r="199" spans="1:14" x14ac:dyDescent="0.3">
      <c r="A199" s="1">
        <v>198</v>
      </c>
      <c r="B199" s="1" t="s">
        <v>16</v>
      </c>
      <c r="C199">
        <v>202.5</v>
      </c>
      <c r="D199">
        <v>225</v>
      </c>
      <c r="E199">
        <v>2</v>
      </c>
      <c r="F199">
        <v>2.5</v>
      </c>
      <c r="G199">
        <v>8</v>
      </c>
      <c r="H199">
        <v>10</v>
      </c>
      <c r="I199">
        <v>2.13292316923076</v>
      </c>
      <c r="J199">
        <v>9.9109108247913493</v>
      </c>
      <c r="K199">
        <v>203.923076923076</v>
      </c>
      <c r="L199">
        <v>13</v>
      </c>
      <c r="M199" s="11">
        <f t="shared" si="8"/>
        <v>3.2481566710891569E-5</v>
      </c>
      <c r="N199" s="12">
        <f t="shared" si="9"/>
        <v>1.1855771849475423E-2</v>
      </c>
    </row>
    <row r="200" spans="1:14" x14ac:dyDescent="0.3">
      <c r="A200" s="1">
        <v>199</v>
      </c>
      <c r="B200" s="1" t="s">
        <v>14</v>
      </c>
      <c r="C200">
        <v>157.5</v>
      </c>
      <c r="D200">
        <v>180</v>
      </c>
      <c r="E200">
        <v>0.5</v>
      </c>
      <c r="F200">
        <v>1</v>
      </c>
      <c r="G200">
        <v>18</v>
      </c>
      <c r="H200">
        <v>20</v>
      </c>
      <c r="I200">
        <v>0.71300001833333304</v>
      </c>
      <c r="J200">
        <v>19.230768833992698</v>
      </c>
      <c r="K200">
        <v>159.166666666666</v>
      </c>
      <c r="L200">
        <v>12</v>
      </c>
      <c r="M200" s="11">
        <f t="shared" si="8"/>
        <v>2.9982984656207602E-5</v>
      </c>
      <c r="N200" s="12">
        <f t="shared" si="9"/>
        <v>1.0943789399515775E-2</v>
      </c>
    </row>
    <row r="201" spans="1:14" x14ac:dyDescent="0.3">
      <c r="A201" s="1">
        <v>200</v>
      </c>
      <c r="B201" s="1" t="s">
        <v>18</v>
      </c>
      <c r="C201">
        <v>247.5</v>
      </c>
      <c r="D201">
        <v>270</v>
      </c>
      <c r="E201">
        <v>2.5</v>
      </c>
      <c r="F201">
        <v>3</v>
      </c>
      <c r="G201">
        <v>14</v>
      </c>
      <c r="H201">
        <v>16</v>
      </c>
      <c r="I201">
        <v>2.5891667416666602</v>
      </c>
      <c r="J201">
        <v>15.6463032284645</v>
      </c>
      <c r="K201">
        <v>256.416666666666</v>
      </c>
      <c r="L201">
        <v>12</v>
      </c>
      <c r="M201" s="11">
        <f t="shared" si="8"/>
        <v>2.9982984656207602E-5</v>
      </c>
      <c r="N201" s="12">
        <f t="shared" si="9"/>
        <v>1.0943789399515775E-2</v>
      </c>
    </row>
    <row r="202" spans="1:14" x14ac:dyDescent="0.3">
      <c r="A202" s="1">
        <v>201</v>
      </c>
      <c r="B202" s="1" t="s">
        <v>20</v>
      </c>
      <c r="C202">
        <v>292.5</v>
      </c>
      <c r="D202">
        <v>315</v>
      </c>
      <c r="E202">
        <v>1.5</v>
      </c>
      <c r="F202">
        <v>2</v>
      </c>
      <c r="G202">
        <v>10</v>
      </c>
      <c r="H202">
        <v>12</v>
      </c>
      <c r="I202">
        <v>1.7245455181818099</v>
      </c>
      <c r="J202">
        <v>11.143030143675499</v>
      </c>
      <c r="K202">
        <v>297.36363636363598</v>
      </c>
      <c r="L202">
        <v>11</v>
      </c>
      <c r="M202" s="11">
        <f t="shared" si="8"/>
        <v>2.7484402601523635E-5</v>
      </c>
      <c r="N202" s="12">
        <f t="shared" si="9"/>
        <v>1.0031806949556127E-2</v>
      </c>
    </row>
    <row r="203" spans="1:14" x14ac:dyDescent="0.3">
      <c r="A203" s="1">
        <v>202</v>
      </c>
      <c r="B203" s="1" t="s">
        <v>14</v>
      </c>
      <c r="C203">
        <v>157.5</v>
      </c>
      <c r="D203">
        <v>180</v>
      </c>
      <c r="E203">
        <v>0.5</v>
      </c>
      <c r="F203">
        <v>1</v>
      </c>
      <c r="G203">
        <v>16</v>
      </c>
      <c r="H203">
        <v>18</v>
      </c>
      <c r="I203">
        <v>0.70320003799999997</v>
      </c>
      <c r="J203">
        <v>16.764435363038199</v>
      </c>
      <c r="K203">
        <v>169.2</v>
      </c>
      <c r="L203">
        <v>10</v>
      </c>
      <c r="M203" s="11">
        <f t="shared" si="8"/>
        <v>2.4985820546839668E-5</v>
      </c>
      <c r="N203" s="12">
        <f t="shared" si="9"/>
        <v>9.1198244995964791E-3</v>
      </c>
    </row>
    <row r="204" spans="1:14" x14ac:dyDescent="0.3">
      <c r="A204" s="1">
        <v>203</v>
      </c>
      <c r="B204" s="1" t="s">
        <v>15</v>
      </c>
      <c r="C204">
        <v>180</v>
      </c>
      <c r="D204">
        <v>202.5</v>
      </c>
      <c r="E204">
        <v>1</v>
      </c>
      <c r="F204">
        <v>1.5</v>
      </c>
      <c r="G204">
        <v>18</v>
      </c>
      <c r="H204">
        <v>20</v>
      </c>
      <c r="I204">
        <v>1.44820007</v>
      </c>
      <c r="J204">
        <v>19.165003762101499</v>
      </c>
      <c r="K204">
        <v>190</v>
      </c>
      <c r="L204">
        <v>10</v>
      </c>
      <c r="M204" s="11">
        <f t="shared" si="8"/>
        <v>2.4985820546839668E-5</v>
      </c>
      <c r="N204" s="12">
        <f t="shared" si="9"/>
        <v>9.1198244995964791E-3</v>
      </c>
    </row>
    <row r="205" spans="1:14" x14ac:dyDescent="0.3">
      <c r="A205" s="1">
        <v>204</v>
      </c>
      <c r="B205" s="1" t="s">
        <v>16</v>
      </c>
      <c r="C205">
        <v>202.5</v>
      </c>
      <c r="D205">
        <v>225</v>
      </c>
      <c r="E205">
        <v>1.5</v>
      </c>
      <c r="F205">
        <v>2</v>
      </c>
      <c r="G205">
        <v>2</v>
      </c>
      <c r="H205">
        <v>4</v>
      </c>
      <c r="I205">
        <v>1.8954000600000001</v>
      </c>
      <c r="J205">
        <v>3.7702917378930398</v>
      </c>
      <c r="K205">
        <v>213.3</v>
      </c>
      <c r="L205">
        <v>10</v>
      </c>
      <c r="M205" s="11">
        <f t="shared" si="8"/>
        <v>2.4985820546839668E-5</v>
      </c>
      <c r="N205" s="12">
        <f t="shared" si="9"/>
        <v>9.1198244995964791E-3</v>
      </c>
    </row>
    <row r="206" spans="1:14" x14ac:dyDescent="0.3">
      <c r="A206" s="1">
        <v>205</v>
      </c>
      <c r="B206" s="1" t="s">
        <v>17</v>
      </c>
      <c r="C206">
        <v>225</v>
      </c>
      <c r="D206">
        <v>247.5</v>
      </c>
      <c r="E206">
        <v>1</v>
      </c>
      <c r="F206">
        <v>1.5</v>
      </c>
      <c r="G206">
        <v>8</v>
      </c>
      <c r="H206">
        <v>10</v>
      </c>
      <c r="I206">
        <v>1.31480006</v>
      </c>
      <c r="J206">
        <v>9.6453477580985094</v>
      </c>
      <c r="K206">
        <v>228.9</v>
      </c>
      <c r="L206">
        <v>10</v>
      </c>
      <c r="M206" s="11">
        <f t="shared" si="8"/>
        <v>2.4985820546839668E-5</v>
      </c>
      <c r="N206" s="12">
        <f t="shared" si="9"/>
        <v>9.1198244995964791E-3</v>
      </c>
    </row>
    <row r="207" spans="1:14" x14ac:dyDescent="0.3">
      <c r="A207" s="1">
        <v>206</v>
      </c>
      <c r="B207" s="1" t="s">
        <v>14</v>
      </c>
      <c r="C207">
        <v>157.5</v>
      </c>
      <c r="D207">
        <v>180</v>
      </c>
      <c r="E207">
        <v>0.5</v>
      </c>
      <c r="F207">
        <v>1</v>
      </c>
      <c r="G207">
        <v>6</v>
      </c>
      <c r="H207">
        <v>8</v>
      </c>
      <c r="I207">
        <v>0.84422225333333301</v>
      </c>
      <c r="J207">
        <v>8</v>
      </c>
      <c r="K207">
        <v>173.555555555555</v>
      </c>
      <c r="L207">
        <v>9</v>
      </c>
      <c r="M207" s="11">
        <f t="shared" si="8"/>
        <v>2.2487238492155701E-5</v>
      </c>
      <c r="N207" s="12">
        <f t="shared" si="9"/>
        <v>8.207842049636831E-3</v>
      </c>
    </row>
    <row r="208" spans="1:14" x14ac:dyDescent="0.3">
      <c r="A208" s="1">
        <v>207</v>
      </c>
      <c r="B208" s="1" t="s">
        <v>14</v>
      </c>
      <c r="C208">
        <v>157.5</v>
      </c>
      <c r="D208">
        <v>180</v>
      </c>
      <c r="E208">
        <v>0.5</v>
      </c>
      <c r="F208">
        <v>1</v>
      </c>
      <c r="G208">
        <v>2</v>
      </c>
      <c r="H208">
        <v>4</v>
      </c>
      <c r="I208">
        <v>0.63675001874999904</v>
      </c>
      <c r="J208">
        <v>3.68287216258428</v>
      </c>
      <c r="K208">
        <v>165.625</v>
      </c>
      <c r="L208">
        <v>8</v>
      </c>
      <c r="M208" s="11">
        <f t="shared" si="8"/>
        <v>1.9988656437471735E-5</v>
      </c>
      <c r="N208" s="12">
        <f t="shared" si="9"/>
        <v>7.2958595996771829E-3</v>
      </c>
    </row>
    <row r="209" spans="1:14" x14ac:dyDescent="0.3">
      <c r="A209" s="1">
        <v>208</v>
      </c>
      <c r="B209" s="1" t="s">
        <v>14</v>
      </c>
      <c r="C209">
        <v>157.5</v>
      </c>
      <c r="D209">
        <v>180</v>
      </c>
      <c r="E209">
        <v>1</v>
      </c>
      <c r="F209">
        <v>1.5</v>
      </c>
      <c r="G209">
        <v>18</v>
      </c>
      <c r="H209">
        <v>20</v>
      </c>
      <c r="I209">
        <v>1.1840000749999999</v>
      </c>
      <c r="J209">
        <v>19.140057481720799</v>
      </c>
      <c r="K209">
        <v>160.25</v>
      </c>
      <c r="L209">
        <v>8</v>
      </c>
      <c r="M209" s="11">
        <f t="shared" si="8"/>
        <v>1.9988656437471735E-5</v>
      </c>
      <c r="N209" s="12">
        <f t="shared" si="9"/>
        <v>7.2958595996771829E-3</v>
      </c>
    </row>
    <row r="210" spans="1:14" x14ac:dyDescent="0.3">
      <c r="A210" s="1">
        <v>209</v>
      </c>
      <c r="B210" s="1" t="s">
        <v>16</v>
      </c>
      <c r="C210">
        <v>202.5</v>
      </c>
      <c r="D210">
        <v>225</v>
      </c>
      <c r="E210">
        <v>2.5</v>
      </c>
      <c r="F210">
        <v>3</v>
      </c>
      <c r="G210">
        <v>24</v>
      </c>
      <c r="H210">
        <v>26</v>
      </c>
      <c r="I210">
        <v>2.5505000375</v>
      </c>
      <c r="J210">
        <v>25.4045490163961</v>
      </c>
      <c r="K210">
        <v>219.375</v>
      </c>
      <c r="L210">
        <v>8</v>
      </c>
      <c r="M210" s="11">
        <f t="shared" si="8"/>
        <v>1.9988656437471735E-5</v>
      </c>
      <c r="N210" s="12">
        <f t="shared" si="9"/>
        <v>7.2958595996771829E-3</v>
      </c>
    </row>
    <row r="211" spans="1:14" x14ac:dyDescent="0.3">
      <c r="A211" s="1">
        <v>210</v>
      </c>
      <c r="B211" s="1" t="s">
        <v>17</v>
      </c>
      <c r="C211">
        <v>225</v>
      </c>
      <c r="D211">
        <v>247.5</v>
      </c>
      <c r="E211">
        <v>2</v>
      </c>
      <c r="F211">
        <v>2.5</v>
      </c>
      <c r="G211">
        <v>22</v>
      </c>
      <c r="H211">
        <v>24</v>
      </c>
      <c r="I211">
        <v>2.2405000249999998</v>
      </c>
      <c r="J211">
        <v>23.397386204632099</v>
      </c>
      <c r="K211">
        <v>230.125</v>
      </c>
      <c r="L211">
        <v>8</v>
      </c>
      <c r="M211" s="11">
        <f t="shared" si="8"/>
        <v>1.9988656437471735E-5</v>
      </c>
      <c r="N211" s="12">
        <f t="shared" si="9"/>
        <v>7.2958595996771829E-3</v>
      </c>
    </row>
    <row r="212" spans="1:14" x14ac:dyDescent="0.3">
      <c r="A212" s="1">
        <v>211</v>
      </c>
      <c r="B212" s="1" t="s">
        <v>18</v>
      </c>
      <c r="C212">
        <v>247.5</v>
      </c>
      <c r="D212">
        <v>270</v>
      </c>
      <c r="E212">
        <v>1</v>
      </c>
      <c r="F212">
        <v>1.5</v>
      </c>
      <c r="G212">
        <v>18</v>
      </c>
      <c r="H212">
        <v>20</v>
      </c>
      <c r="I212">
        <v>1.3800000625</v>
      </c>
      <c r="J212">
        <v>18.965262835233901</v>
      </c>
      <c r="K212">
        <v>258.625</v>
      </c>
      <c r="L212">
        <v>8</v>
      </c>
      <c r="M212" s="11">
        <f t="shared" si="8"/>
        <v>1.9988656437471735E-5</v>
      </c>
      <c r="N212" s="12">
        <f t="shared" si="9"/>
        <v>7.2958595996771829E-3</v>
      </c>
    </row>
    <row r="213" spans="1:14" x14ac:dyDescent="0.3">
      <c r="A213" s="1">
        <v>212</v>
      </c>
      <c r="B213" s="1" t="s">
        <v>15</v>
      </c>
      <c r="C213">
        <v>180</v>
      </c>
      <c r="D213">
        <v>202.5</v>
      </c>
      <c r="E213">
        <v>3</v>
      </c>
      <c r="F213">
        <v>3.5</v>
      </c>
      <c r="G213">
        <v>6</v>
      </c>
      <c r="H213">
        <v>8</v>
      </c>
      <c r="I213">
        <v>3.08428585714285</v>
      </c>
      <c r="J213">
        <v>7.93679348857885</v>
      </c>
      <c r="K213">
        <v>183.42857142857099</v>
      </c>
      <c r="L213">
        <v>7</v>
      </c>
      <c r="M213" s="11">
        <f t="shared" si="8"/>
        <v>1.7490074382787768E-5</v>
      </c>
      <c r="N213" s="12">
        <f t="shared" si="9"/>
        <v>6.3838771497175357E-3</v>
      </c>
    </row>
    <row r="214" spans="1:14" x14ac:dyDescent="0.3">
      <c r="A214" s="1">
        <v>213</v>
      </c>
      <c r="B214" s="1" t="s">
        <v>17</v>
      </c>
      <c r="C214">
        <v>225</v>
      </c>
      <c r="D214">
        <v>247.5</v>
      </c>
      <c r="E214">
        <v>3</v>
      </c>
      <c r="F214">
        <v>3.5</v>
      </c>
      <c r="G214">
        <v>20</v>
      </c>
      <c r="H214">
        <v>22</v>
      </c>
      <c r="I214">
        <v>3.19485725714285</v>
      </c>
      <c r="J214">
        <v>21.213271696146499</v>
      </c>
      <c r="K214">
        <v>237.42857142857099</v>
      </c>
      <c r="L214">
        <v>7</v>
      </c>
      <c r="M214" s="11">
        <f t="shared" si="8"/>
        <v>1.7490074382787768E-5</v>
      </c>
      <c r="N214" s="12">
        <f t="shared" si="9"/>
        <v>6.3838771497175357E-3</v>
      </c>
    </row>
    <row r="215" spans="1:14" x14ac:dyDescent="0.3">
      <c r="A215" s="1">
        <v>214</v>
      </c>
      <c r="B215" s="1" t="s">
        <v>14</v>
      </c>
      <c r="C215">
        <v>157.5</v>
      </c>
      <c r="D215">
        <v>180</v>
      </c>
      <c r="E215">
        <v>1.5</v>
      </c>
      <c r="F215">
        <v>2</v>
      </c>
      <c r="G215">
        <v>4</v>
      </c>
      <c r="H215">
        <v>6</v>
      </c>
      <c r="I215">
        <v>1.7163333999999999</v>
      </c>
      <c r="J215">
        <v>5.6292325995810604</v>
      </c>
      <c r="K215">
        <v>171</v>
      </c>
      <c r="L215">
        <v>6</v>
      </c>
      <c r="M215" s="11">
        <f t="shared" si="8"/>
        <v>1.4991492328103801E-5</v>
      </c>
      <c r="N215" s="12">
        <f t="shared" si="9"/>
        <v>5.4718946997578876E-3</v>
      </c>
    </row>
    <row r="216" spans="1:14" x14ac:dyDescent="0.3">
      <c r="A216" s="1">
        <v>215</v>
      </c>
      <c r="B216" s="1" t="s">
        <v>14</v>
      </c>
      <c r="C216">
        <v>157.5</v>
      </c>
      <c r="D216">
        <v>180</v>
      </c>
      <c r="E216">
        <v>4.5</v>
      </c>
      <c r="F216">
        <v>5</v>
      </c>
      <c r="G216">
        <v>8</v>
      </c>
      <c r="H216">
        <v>10</v>
      </c>
      <c r="I216">
        <v>4.6446668500000001</v>
      </c>
      <c r="J216">
        <v>9.9669964854161694</v>
      </c>
      <c r="K216">
        <v>178</v>
      </c>
      <c r="L216">
        <v>6</v>
      </c>
      <c r="M216" s="11">
        <f t="shared" si="8"/>
        <v>1.4991492328103801E-5</v>
      </c>
      <c r="N216" s="12">
        <f t="shared" si="9"/>
        <v>5.4718946997578876E-3</v>
      </c>
    </row>
    <row r="217" spans="1:14" x14ac:dyDescent="0.3">
      <c r="A217" s="1">
        <v>216</v>
      </c>
      <c r="B217" s="1" t="s">
        <v>15</v>
      </c>
      <c r="C217">
        <v>180</v>
      </c>
      <c r="D217">
        <v>202.5</v>
      </c>
      <c r="E217">
        <v>4</v>
      </c>
      <c r="F217">
        <v>4.5</v>
      </c>
      <c r="G217">
        <v>10</v>
      </c>
      <c r="H217">
        <v>12</v>
      </c>
      <c r="I217">
        <v>4.2676667333333302</v>
      </c>
      <c r="J217">
        <v>10.9116051453494</v>
      </c>
      <c r="K217">
        <v>182.333333333333</v>
      </c>
      <c r="L217">
        <v>6</v>
      </c>
      <c r="M217" s="11">
        <f t="shared" si="8"/>
        <v>1.4991492328103801E-5</v>
      </c>
      <c r="N217" s="12">
        <f t="shared" si="9"/>
        <v>5.4718946997578876E-3</v>
      </c>
    </row>
    <row r="218" spans="1:14" x14ac:dyDescent="0.3">
      <c r="A218" s="1">
        <v>217</v>
      </c>
      <c r="B218" s="1" t="s">
        <v>16</v>
      </c>
      <c r="C218">
        <v>202.5</v>
      </c>
      <c r="D218">
        <v>225</v>
      </c>
      <c r="E218">
        <v>0.5</v>
      </c>
      <c r="F218">
        <v>1</v>
      </c>
      <c r="G218">
        <v>12</v>
      </c>
      <c r="H218">
        <v>14</v>
      </c>
      <c r="I218">
        <v>0.95266671666666602</v>
      </c>
      <c r="J218">
        <v>13.219473003374899</v>
      </c>
      <c r="K218">
        <v>216.5</v>
      </c>
      <c r="L218">
        <v>6</v>
      </c>
      <c r="M218" s="11">
        <f t="shared" si="8"/>
        <v>1.4991492328103801E-5</v>
      </c>
      <c r="N218" s="12">
        <f t="shared" si="9"/>
        <v>5.4718946997578876E-3</v>
      </c>
    </row>
    <row r="219" spans="1:14" x14ac:dyDescent="0.3">
      <c r="A219" s="1">
        <v>218</v>
      </c>
      <c r="B219" s="1" t="s">
        <v>17</v>
      </c>
      <c r="C219">
        <v>225</v>
      </c>
      <c r="D219">
        <v>247.5</v>
      </c>
      <c r="E219">
        <v>3</v>
      </c>
      <c r="F219">
        <v>3.5</v>
      </c>
      <c r="G219">
        <v>12</v>
      </c>
      <c r="H219">
        <v>14</v>
      </c>
      <c r="I219">
        <v>3.1166668666666602</v>
      </c>
      <c r="J219">
        <v>13.157893870015601</v>
      </c>
      <c r="K219">
        <v>226.5</v>
      </c>
      <c r="L219">
        <v>6</v>
      </c>
      <c r="M219" s="11">
        <f t="shared" si="8"/>
        <v>1.4991492328103801E-5</v>
      </c>
      <c r="N219" s="12">
        <f t="shared" si="9"/>
        <v>5.4718946997578876E-3</v>
      </c>
    </row>
    <row r="220" spans="1:14" x14ac:dyDescent="0.3">
      <c r="A220" s="1">
        <v>219</v>
      </c>
      <c r="B220" s="1" t="s">
        <v>15</v>
      </c>
      <c r="C220">
        <v>180</v>
      </c>
      <c r="D220">
        <v>202.5</v>
      </c>
      <c r="E220">
        <v>1</v>
      </c>
      <c r="F220">
        <v>1.5</v>
      </c>
      <c r="G220">
        <v>20</v>
      </c>
      <c r="H220">
        <v>22</v>
      </c>
      <c r="I220">
        <v>1.4612000599999999</v>
      </c>
      <c r="J220">
        <v>21.4616083248766</v>
      </c>
      <c r="K220">
        <v>198.4</v>
      </c>
      <c r="L220">
        <v>5</v>
      </c>
      <c r="M220" s="11">
        <f t="shared" si="8"/>
        <v>1.2492910273419834E-5</v>
      </c>
      <c r="N220" s="12">
        <f t="shared" si="9"/>
        <v>4.5599122497982396E-3</v>
      </c>
    </row>
    <row r="221" spans="1:14" x14ac:dyDescent="0.3">
      <c r="A221" s="1">
        <v>220</v>
      </c>
      <c r="B221" s="1" t="s">
        <v>15</v>
      </c>
      <c r="C221">
        <v>180</v>
      </c>
      <c r="D221">
        <v>202.5</v>
      </c>
      <c r="E221">
        <v>2.5</v>
      </c>
      <c r="F221">
        <v>3</v>
      </c>
      <c r="G221">
        <v>22</v>
      </c>
      <c r="H221">
        <v>24</v>
      </c>
      <c r="I221">
        <v>2.7412001199999998</v>
      </c>
      <c r="J221">
        <v>22.943386351300099</v>
      </c>
      <c r="K221">
        <v>191.8</v>
      </c>
      <c r="L221">
        <v>5</v>
      </c>
      <c r="M221" s="11">
        <f t="shared" si="8"/>
        <v>1.2492910273419834E-5</v>
      </c>
      <c r="N221" s="12">
        <f t="shared" si="9"/>
        <v>4.5599122497982396E-3</v>
      </c>
    </row>
    <row r="222" spans="1:14" x14ac:dyDescent="0.3">
      <c r="A222" s="1">
        <v>221</v>
      </c>
      <c r="B222" s="1" t="s">
        <v>15</v>
      </c>
      <c r="C222">
        <v>180</v>
      </c>
      <c r="D222">
        <v>202.5</v>
      </c>
      <c r="E222">
        <v>4.5</v>
      </c>
      <c r="F222">
        <v>5</v>
      </c>
      <c r="G222">
        <v>16</v>
      </c>
      <c r="H222">
        <v>18</v>
      </c>
      <c r="I222">
        <v>4.5552001999999998</v>
      </c>
      <c r="J222">
        <v>17.148323780673099</v>
      </c>
      <c r="K222">
        <v>201.8</v>
      </c>
      <c r="L222">
        <v>5</v>
      </c>
      <c r="M222" s="11">
        <f t="shared" si="8"/>
        <v>1.2492910273419834E-5</v>
      </c>
      <c r="N222" s="12">
        <f t="shared" si="9"/>
        <v>4.5599122497982396E-3</v>
      </c>
    </row>
    <row r="223" spans="1:14" x14ac:dyDescent="0.3">
      <c r="A223" s="1">
        <v>222</v>
      </c>
      <c r="B223" s="1" t="s">
        <v>16</v>
      </c>
      <c r="C223">
        <v>202.5</v>
      </c>
      <c r="D223">
        <v>225</v>
      </c>
      <c r="E223">
        <v>1</v>
      </c>
      <c r="F223">
        <v>1.5</v>
      </c>
      <c r="G223">
        <v>22</v>
      </c>
      <c r="H223">
        <v>24</v>
      </c>
      <c r="I223">
        <v>1.4400000399999999</v>
      </c>
      <c r="J223">
        <v>23.3665549346983</v>
      </c>
      <c r="K223">
        <v>215.4</v>
      </c>
      <c r="L223">
        <v>5</v>
      </c>
      <c r="M223" s="11">
        <f t="shared" si="8"/>
        <v>1.2492910273419834E-5</v>
      </c>
      <c r="N223" s="12">
        <f t="shared" si="9"/>
        <v>4.5599122497982396E-3</v>
      </c>
    </row>
    <row r="224" spans="1:14" x14ac:dyDescent="0.3">
      <c r="A224" s="1">
        <v>223</v>
      </c>
      <c r="B224" s="1" t="s">
        <v>17</v>
      </c>
      <c r="C224">
        <v>225</v>
      </c>
      <c r="D224">
        <v>247.5</v>
      </c>
      <c r="E224">
        <v>0.5</v>
      </c>
      <c r="F224">
        <v>1</v>
      </c>
      <c r="G224">
        <v>10</v>
      </c>
      <c r="H224">
        <v>12</v>
      </c>
      <c r="I224">
        <v>0.97480002799999999</v>
      </c>
      <c r="J224">
        <v>10.869564315997801</v>
      </c>
      <c r="K224">
        <v>230.2</v>
      </c>
      <c r="L224">
        <v>5</v>
      </c>
      <c r="M224" s="11">
        <f t="shared" si="8"/>
        <v>1.2492910273419834E-5</v>
      </c>
      <c r="N224" s="12">
        <f t="shared" si="9"/>
        <v>4.5599122497982396E-3</v>
      </c>
    </row>
    <row r="225" spans="1:14" x14ac:dyDescent="0.3">
      <c r="A225" s="1">
        <v>224</v>
      </c>
      <c r="B225" s="1" t="s">
        <v>18</v>
      </c>
      <c r="C225">
        <v>247.5</v>
      </c>
      <c r="D225">
        <v>270</v>
      </c>
      <c r="E225">
        <v>2</v>
      </c>
      <c r="F225">
        <v>2.5</v>
      </c>
      <c r="G225">
        <v>20</v>
      </c>
      <c r="H225">
        <v>22</v>
      </c>
      <c r="I225">
        <v>2.0256000599999999</v>
      </c>
      <c r="J225">
        <v>21.187942459886301</v>
      </c>
      <c r="K225">
        <v>263.2</v>
      </c>
      <c r="L225">
        <v>5</v>
      </c>
      <c r="M225" s="11">
        <f t="shared" si="8"/>
        <v>1.2492910273419834E-5</v>
      </c>
      <c r="N225" s="12">
        <f t="shared" si="9"/>
        <v>4.5599122497982396E-3</v>
      </c>
    </row>
    <row r="226" spans="1:14" x14ac:dyDescent="0.3">
      <c r="A226" s="1">
        <v>225</v>
      </c>
      <c r="B226" s="1" t="s">
        <v>18</v>
      </c>
      <c r="C226">
        <v>247.5</v>
      </c>
      <c r="D226">
        <v>270</v>
      </c>
      <c r="E226">
        <v>3</v>
      </c>
      <c r="F226">
        <v>3.5</v>
      </c>
      <c r="G226">
        <v>16</v>
      </c>
      <c r="H226">
        <v>18</v>
      </c>
      <c r="I226">
        <v>3.05000015999999</v>
      </c>
      <c r="J226">
        <v>17.543858493354101</v>
      </c>
      <c r="K226">
        <v>258.60000000000002</v>
      </c>
      <c r="L226">
        <v>5</v>
      </c>
      <c r="M226" s="11">
        <f t="shared" si="8"/>
        <v>1.2492910273419834E-5</v>
      </c>
      <c r="N226" s="12">
        <f t="shared" si="9"/>
        <v>4.5599122497982396E-3</v>
      </c>
    </row>
    <row r="227" spans="1:14" x14ac:dyDescent="0.3">
      <c r="A227" s="1">
        <v>226</v>
      </c>
      <c r="B227" s="1" t="s">
        <v>13</v>
      </c>
      <c r="C227">
        <v>135</v>
      </c>
      <c r="D227">
        <v>157.5</v>
      </c>
      <c r="E227">
        <v>0.5</v>
      </c>
      <c r="F227">
        <v>1</v>
      </c>
      <c r="G227">
        <v>18</v>
      </c>
      <c r="H227">
        <v>20</v>
      </c>
      <c r="I227">
        <v>0.85400001999999997</v>
      </c>
      <c r="J227">
        <v>19.230768833992698</v>
      </c>
      <c r="K227">
        <v>156.5</v>
      </c>
      <c r="L227">
        <v>4</v>
      </c>
      <c r="M227" s="11">
        <f t="shared" si="8"/>
        <v>9.9943282187358673E-6</v>
      </c>
      <c r="N227" s="12">
        <f t="shared" si="9"/>
        <v>3.6479297998385915E-3</v>
      </c>
    </row>
    <row r="228" spans="1:14" x14ac:dyDescent="0.3">
      <c r="A228" s="1">
        <v>227</v>
      </c>
      <c r="B228" s="1" t="s">
        <v>14</v>
      </c>
      <c r="C228">
        <v>157.5</v>
      </c>
      <c r="D228">
        <v>180</v>
      </c>
      <c r="E228">
        <v>1</v>
      </c>
      <c r="F228">
        <v>1.5</v>
      </c>
      <c r="G228">
        <v>6</v>
      </c>
      <c r="H228">
        <v>8</v>
      </c>
      <c r="I228">
        <v>1.4400000499999901</v>
      </c>
      <c r="J228">
        <v>6.3898414083969604</v>
      </c>
      <c r="K228">
        <v>176.5</v>
      </c>
      <c r="L228">
        <v>4</v>
      </c>
      <c r="M228" s="11">
        <f t="shared" si="8"/>
        <v>9.9943282187358673E-6</v>
      </c>
      <c r="N228" s="12">
        <f t="shared" si="9"/>
        <v>3.6479297998385915E-3</v>
      </c>
    </row>
    <row r="229" spans="1:14" x14ac:dyDescent="0.3">
      <c r="A229" s="1">
        <v>228</v>
      </c>
      <c r="B229" s="1" t="s">
        <v>14</v>
      </c>
      <c r="C229">
        <v>157.5</v>
      </c>
      <c r="D229">
        <v>180</v>
      </c>
      <c r="E229">
        <v>1.5</v>
      </c>
      <c r="F229">
        <v>2</v>
      </c>
      <c r="G229">
        <v>12</v>
      </c>
      <c r="H229">
        <v>14</v>
      </c>
      <c r="I229">
        <v>1.57000005</v>
      </c>
      <c r="J229">
        <v>12.195121614369899</v>
      </c>
      <c r="K229">
        <v>162.5</v>
      </c>
      <c r="L229">
        <v>4</v>
      </c>
      <c r="M229" s="11">
        <f t="shared" si="8"/>
        <v>9.9943282187358673E-6</v>
      </c>
      <c r="N229" s="12">
        <f t="shared" si="9"/>
        <v>3.6479297998385915E-3</v>
      </c>
    </row>
    <row r="230" spans="1:14" x14ac:dyDescent="0.3">
      <c r="A230" s="1">
        <v>229</v>
      </c>
      <c r="B230" s="1" t="s">
        <v>15</v>
      </c>
      <c r="C230">
        <v>180</v>
      </c>
      <c r="D230">
        <v>202.5</v>
      </c>
      <c r="E230">
        <v>4.5</v>
      </c>
      <c r="F230">
        <v>5</v>
      </c>
      <c r="G230">
        <v>8</v>
      </c>
      <c r="H230">
        <v>10</v>
      </c>
      <c r="I230">
        <v>4.5645001499999998</v>
      </c>
      <c r="J230">
        <v>9.8043922441207005</v>
      </c>
      <c r="K230">
        <v>182.5</v>
      </c>
      <c r="L230">
        <v>4</v>
      </c>
      <c r="M230" s="11">
        <f t="shared" si="8"/>
        <v>9.9943282187358673E-6</v>
      </c>
      <c r="N230" s="12">
        <f t="shared" si="9"/>
        <v>3.6479297998385915E-3</v>
      </c>
    </row>
    <row r="231" spans="1:14" x14ac:dyDescent="0.3">
      <c r="A231" s="1">
        <v>230</v>
      </c>
      <c r="B231" s="1" t="s">
        <v>15</v>
      </c>
      <c r="C231">
        <v>180</v>
      </c>
      <c r="D231">
        <v>202.5</v>
      </c>
      <c r="E231">
        <v>4.5</v>
      </c>
      <c r="F231">
        <v>5</v>
      </c>
      <c r="G231">
        <v>10</v>
      </c>
      <c r="H231">
        <v>12</v>
      </c>
      <c r="I231">
        <v>4.7075001749999998</v>
      </c>
      <c r="J231">
        <v>10.9387004616013</v>
      </c>
      <c r="K231">
        <v>182.75</v>
      </c>
      <c r="L231">
        <v>4</v>
      </c>
      <c r="M231" s="11">
        <f t="shared" si="8"/>
        <v>9.9943282187358673E-6</v>
      </c>
      <c r="N231" s="12">
        <f t="shared" si="9"/>
        <v>3.6479297998385915E-3</v>
      </c>
    </row>
    <row r="232" spans="1:14" x14ac:dyDescent="0.3">
      <c r="A232" s="1">
        <v>231</v>
      </c>
      <c r="B232" s="1" t="s">
        <v>16</v>
      </c>
      <c r="C232">
        <v>202.5</v>
      </c>
      <c r="D232">
        <v>225</v>
      </c>
      <c r="E232">
        <v>0.5</v>
      </c>
      <c r="F232">
        <v>1</v>
      </c>
      <c r="G232">
        <v>10</v>
      </c>
      <c r="H232">
        <v>12</v>
      </c>
      <c r="I232">
        <v>0.89650003</v>
      </c>
      <c r="J232">
        <v>11.111110669595201</v>
      </c>
      <c r="K232">
        <v>222.25</v>
      </c>
      <c r="L232">
        <v>4</v>
      </c>
      <c r="M232" s="11">
        <f t="shared" si="8"/>
        <v>9.9943282187358673E-6</v>
      </c>
      <c r="N232" s="12">
        <f t="shared" si="9"/>
        <v>3.6479297998385915E-3</v>
      </c>
    </row>
    <row r="233" spans="1:14" x14ac:dyDescent="0.3">
      <c r="A233" s="1">
        <v>232</v>
      </c>
      <c r="B233" s="1" t="s">
        <v>16</v>
      </c>
      <c r="C233">
        <v>202.5</v>
      </c>
      <c r="D233">
        <v>225</v>
      </c>
      <c r="E233">
        <v>2.5</v>
      </c>
      <c r="F233">
        <v>3</v>
      </c>
      <c r="G233">
        <v>8</v>
      </c>
      <c r="H233">
        <v>10</v>
      </c>
      <c r="I233">
        <v>2.7320000000000002</v>
      </c>
      <c r="J233">
        <v>8.1972717110305897</v>
      </c>
      <c r="K233">
        <v>206</v>
      </c>
      <c r="L233">
        <v>4</v>
      </c>
      <c r="M233" s="11">
        <f t="shared" si="8"/>
        <v>9.9943282187358673E-6</v>
      </c>
      <c r="N233" s="12">
        <f t="shared" si="9"/>
        <v>3.6479297998385915E-3</v>
      </c>
    </row>
    <row r="234" spans="1:14" x14ac:dyDescent="0.3">
      <c r="A234" s="1">
        <v>233</v>
      </c>
      <c r="B234" s="1" t="s">
        <v>16</v>
      </c>
      <c r="C234">
        <v>202.5</v>
      </c>
      <c r="D234">
        <v>225</v>
      </c>
      <c r="E234">
        <v>4</v>
      </c>
      <c r="F234">
        <v>4.5</v>
      </c>
      <c r="G234">
        <v>20</v>
      </c>
      <c r="H234">
        <v>22</v>
      </c>
      <c r="I234">
        <v>4.0170003249999997</v>
      </c>
      <c r="J234">
        <v>20.6207476998635</v>
      </c>
      <c r="K234">
        <v>211.75</v>
      </c>
      <c r="L234">
        <v>4</v>
      </c>
      <c r="M234" s="11">
        <f t="shared" si="8"/>
        <v>9.9943282187358673E-6</v>
      </c>
      <c r="N234" s="12">
        <f t="shared" si="9"/>
        <v>3.6479297998385915E-3</v>
      </c>
    </row>
    <row r="235" spans="1:14" x14ac:dyDescent="0.3">
      <c r="A235" s="1">
        <v>234</v>
      </c>
      <c r="B235" s="1" t="s">
        <v>17</v>
      </c>
      <c r="C235">
        <v>225</v>
      </c>
      <c r="D235">
        <v>247.5</v>
      </c>
      <c r="E235">
        <v>1</v>
      </c>
      <c r="F235">
        <v>1.5</v>
      </c>
      <c r="G235">
        <v>20</v>
      </c>
      <c r="H235">
        <v>22</v>
      </c>
      <c r="I235">
        <v>1.3685</v>
      </c>
      <c r="J235">
        <v>21.276594786797201</v>
      </c>
      <c r="K235">
        <v>230.25</v>
      </c>
      <c r="L235">
        <v>4</v>
      </c>
      <c r="M235" s="11">
        <f t="shared" si="8"/>
        <v>9.9943282187358673E-6</v>
      </c>
      <c r="N235" s="12">
        <f t="shared" si="9"/>
        <v>3.6479297998385915E-3</v>
      </c>
    </row>
    <row r="236" spans="1:14" x14ac:dyDescent="0.3">
      <c r="A236" s="1">
        <v>235</v>
      </c>
      <c r="B236" s="1" t="s">
        <v>17</v>
      </c>
      <c r="C236">
        <v>225</v>
      </c>
      <c r="D236">
        <v>247.5</v>
      </c>
      <c r="E236">
        <v>1.5</v>
      </c>
      <c r="F236">
        <v>2</v>
      </c>
      <c r="G236">
        <v>6</v>
      </c>
      <c r="H236">
        <v>8</v>
      </c>
      <c r="I236">
        <v>1.9720001</v>
      </c>
      <c r="J236">
        <v>6.23058958338172</v>
      </c>
      <c r="K236">
        <v>240.25</v>
      </c>
      <c r="L236">
        <v>4</v>
      </c>
      <c r="M236" s="11">
        <f t="shared" si="8"/>
        <v>9.9943282187358673E-6</v>
      </c>
      <c r="N236" s="12">
        <f t="shared" si="9"/>
        <v>3.6479297998385915E-3</v>
      </c>
    </row>
    <row r="237" spans="1:14" x14ac:dyDescent="0.3">
      <c r="A237" s="1">
        <v>236</v>
      </c>
      <c r="B237" s="1" t="s">
        <v>17</v>
      </c>
      <c r="C237">
        <v>225</v>
      </c>
      <c r="D237">
        <v>247.5</v>
      </c>
      <c r="E237">
        <v>3.5</v>
      </c>
      <c r="F237">
        <v>4</v>
      </c>
      <c r="G237">
        <v>14</v>
      </c>
      <c r="H237">
        <v>16</v>
      </c>
      <c r="I237">
        <v>3.58000012499999</v>
      </c>
      <c r="J237">
        <v>15.5649029897564</v>
      </c>
      <c r="K237">
        <v>226.5</v>
      </c>
      <c r="L237">
        <v>4</v>
      </c>
      <c r="M237" s="11">
        <f t="shared" si="8"/>
        <v>9.9943282187358673E-6</v>
      </c>
      <c r="N237" s="12">
        <f t="shared" si="9"/>
        <v>3.6479297998385915E-3</v>
      </c>
    </row>
    <row r="238" spans="1:14" x14ac:dyDescent="0.3">
      <c r="A238" s="1">
        <v>237</v>
      </c>
      <c r="B238" s="1" t="s">
        <v>14</v>
      </c>
      <c r="C238">
        <v>157.5</v>
      </c>
      <c r="D238">
        <v>180</v>
      </c>
      <c r="E238">
        <v>2</v>
      </c>
      <c r="F238">
        <v>2.5</v>
      </c>
      <c r="G238">
        <v>12</v>
      </c>
      <c r="H238">
        <v>14</v>
      </c>
      <c r="I238">
        <v>2.4266666666666601</v>
      </c>
      <c r="J238">
        <v>12.245307401582201</v>
      </c>
      <c r="K238">
        <v>179.333333333333</v>
      </c>
      <c r="L238">
        <v>3</v>
      </c>
      <c r="M238" s="11">
        <f t="shared" si="8"/>
        <v>7.4957461640519005E-6</v>
      </c>
      <c r="N238" s="12">
        <f t="shared" si="9"/>
        <v>2.7359473498789438E-3</v>
      </c>
    </row>
    <row r="239" spans="1:14" x14ac:dyDescent="0.3">
      <c r="A239" s="1">
        <v>238</v>
      </c>
      <c r="B239" s="1" t="s">
        <v>15</v>
      </c>
      <c r="C239">
        <v>180</v>
      </c>
      <c r="D239">
        <v>202.5</v>
      </c>
      <c r="E239">
        <v>3</v>
      </c>
      <c r="F239">
        <v>3.5</v>
      </c>
      <c r="G239">
        <v>22</v>
      </c>
      <c r="H239">
        <v>24</v>
      </c>
      <c r="I239">
        <v>3.0293334999999999</v>
      </c>
      <c r="J239">
        <v>22.735101809698499</v>
      </c>
      <c r="K239">
        <v>196.333333333333</v>
      </c>
      <c r="L239">
        <v>3</v>
      </c>
      <c r="M239" s="11">
        <f t="shared" si="8"/>
        <v>7.4957461640519005E-6</v>
      </c>
      <c r="N239" s="12">
        <f t="shared" si="9"/>
        <v>2.7359473498789438E-3</v>
      </c>
    </row>
    <row r="240" spans="1:14" x14ac:dyDescent="0.3">
      <c r="A240" s="1">
        <v>239</v>
      </c>
      <c r="B240" s="1" t="s">
        <v>16</v>
      </c>
      <c r="C240">
        <v>202.5</v>
      </c>
      <c r="D240">
        <v>225</v>
      </c>
      <c r="E240">
        <v>2</v>
      </c>
      <c r="F240">
        <v>2.5</v>
      </c>
      <c r="G240">
        <v>2</v>
      </c>
      <c r="H240">
        <v>4</v>
      </c>
      <c r="I240">
        <v>2.0446667666666598</v>
      </c>
      <c r="J240">
        <v>2.91856875052114</v>
      </c>
      <c r="K240">
        <v>212</v>
      </c>
      <c r="L240">
        <v>3</v>
      </c>
      <c r="M240" s="11">
        <f t="shared" si="8"/>
        <v>7.4957461640519005E-6</v>
      </c>
      <c r="N240" s="12">
        <f t="shared" si="9"/>
        <v>2.7359473498789438E-3</v>
      </c>
    </row>
    <row r="241" spans="1:14" x14ac:dyDescent="0.3">
      <c r="A241" s="1">
        <v>240</v>
      </c>
      <c r="B241" s="1" t="s">
        <v>18</v>
      </c>
      <c r="C241">
        <v>247.5</v>
      </c>
      <c r="D241">
        <v>270</v>
      </c>
      <c r="E241">
        <v>2</v>
      </c>
      <c r="F241">
        <v>2.5</v>
      </c>
      <c r="G241">
        <v>12</v>
      </c>
      <c r="H241">
        <v>14</v>
      </c>
      <c r="I241">
        <v>2.0486667999999999</v>
      </c>
      <c r="J241">
        <v>13.8888880495488</v>
      </c>
      <c r="K241">
        <v>253.666666666666</v>
      </c>
      <c r="L241">
        <v>3</v>
      </c>
      <c r="M241" s="11">
        <f t="shared" si="8"/>
        <v>7.4957461640519005E-6</v>
      </c>
      <c r="N241" s="12">
        <f t="shared" si="9"/>
        <v>2.7359473498789438E-3</v>
      </c>
    </row>
    <row r="242" spans="1:14" x14ac:dyDescent="0.3">
      <c r="A242" s="1">
        <v>241</v>
      </c>
      <c r="B242" s="1" t="s">
        <v>19</v>
      </c>
      <c r="C242">
        <v>270</v>
      </c>
      <c r="D242">
        <v>292.5</v>
      </c>
      <c r="E242">
        <v>1.5</v>
      </c>
      <c r="F242">
        <v>2</v>
      </c>
      <c r="G242">
        <v>20</v>
      </c>
      <c r="H242">
        <v>22</v>
      </c>
      <c r="I242">
        <v>1.74600006666666</v>
      </c>
      <c r="J242">
        <v>21.1288409086124</v>
      </c>
      <c r="K242">
        <v>290.666666666666</v>
      </c>
      <c r="L242">
        <v>3</v>
      </c>
      <c r="M242" s="11">
        <f t="shared" si="8"/>
        <v>7.4957461640519005E-6</v>
      </c>
      <c r="N242" s="12">
        <f t="shared" si="9"/>
        <v>2.7359473498789438E-3</v>
      </c>
    </row>
    <row r="243" spans="1:14" x14ac:dyDescent="0.3">
      <c r="A243" s="1">
        <v>242</v>
      </c>
      <c r="B243" s="1" t="s">
        <v>19</v>
      </c>
      <c r="C243">
        <v>270</v>
      </c>
      <c r="D243">
        <v>292.5</v>
      </c>
      <c r="E243">
        <v>3</v>
      </c>
      <c r="F243">
        <v>3.5</v>
      </c>
      <c r="G243">
        <v>16</v>
      </c>
      <c r="H243">
        <v>18</v>
      </c>
      <c r="I243">
        <v>3.0093333999999898</v>
      </c>
      <c r="J243">
        <v>17.752714368419301</v>
      </c>
      <c r="K243">
        <v>277.666666666666</v>
      </c>
      <c r="L243">
        <v>3</v>
      </c>
      <c r="M243" s="11">
        <f t="shared" si="8"/>
        <v>7.4957461640519005E-6</v>
      </c>
      <c r="N243" s="12">
        <f t="shared" si="9"/>
        <v>2.7359473498789438E-3</v>
      </c>
    </row>
    <row r="244" spans="1:14" x14ac:dyDescent="0.3">
      <c r="A244" s="1">
        <v>243</v>
      </c>
      <c r="B244" s="1" t="s">
        <v>20</v>
      </c>
      <c r="C244">
        <v>292.5</v>
      </c>
      <c r="D244">
        <v>315</v>
      </c>
      <c r="E244">
        <v>2.5</v>
      </c>
      <c r="F244">
        <v>3</v>
      </c>
      <c r="G244">
        <v>16</v>
      </c>
      <c r="H244">
        <v>18</v>
      </c>
      <c r="I244">
        <v>2.7020000666666601</v>
      </c>
      <c r="J244">
        <v>17.8571423059519</v>
      </c>
      <c r="K244">
        <v>297</v>
      </c>
      <c r="L244">
        <v>3</v>
      </c>
      <c r="M244" s="11">
        <f t="shared" si="8"/>
        <v>7.4957461640519005E-6</v>
      </c>
      <c r="N244" s="12">
        <f t="shared" si="9"/>
        <v>2.7359473498789438E-3</v>
      </c>
    </row>
    <row r="245" spans="1:14" x14ac:dyDescent="0.3">
      <c r="A245" s="1">
        <v>244</v>
      </c>
      <c r="B245" s="1" t="s">
        <v>14</v>
      </c>
      <c r="C245">
        <v>157.5</v>
      </c>
      <c r="D245">
        <v>180</v>
      </c>
      <c r="E245">
        <v>2.5</v>
      </c>
      <c r="F245">
        <v>3</v>
      </c>
      <c r="G245">
        <v>12</v>
      </c>
      <c r="H245">
        <v>14</v>
      </c>
      <c r="I245">
        <v>2.5310001</v>
      </c>
      <c r="J245">
        <v>12.4999991152436</v>
      </c>
      <c r="K245">
        <v>179</v>
      </c>
      <c r="L245">
        <v>2</v>
      </c>
      <c r="M245" s="11">
        <f t="shared" si="8"/>
        <v>4.9971641093679337E-6</v>
      </c>
      <c r="N245" s="12">
        <f t="shared" si="9"/>
        <v>1.8239648999192957E-3</v>
      </c>
    </row>
    <row r="246" spans="1:14" x14ac:dyDescent="0.3">
      <c r="A246" s="1">
        <v>245</v>
      </c>
      <c r="B246" s="1" t="s">
        <v>15</v>
      </c>
      <c r="C246">
        <v>180</v>
      </c>
      <c r="D246">
        <v>202.5</v>
      </c>
      <c r="E246">
        <v>1.5</v>
      </c>
      <c r="F246">
        <v>2</v>
      </c>
      <c r="G246">
        <v>22</v>
      </c>
      <c r="H246">
        <v>24</v>
      </c>
      <c r="I246">
        <v>1.7580000499999999</v>
      </c>
      <c r="J246">
        <v>22.991542044952599</v>
      </c>
      <c r="K246">
        <v>200.5</v>
      </c>
      <c r="L246">
        <v>2</v>
      </c>
      <c r="M246" s="11">
        <f t="shared" si="8"/>
        <v>4.9971641093679337E-6</v>
      </c>
      <c r="N246" s="12">
        <f t="shared" si="9"/>
        <v>1.8239648999192957E-3</v>
      </c>
    </row>
    <row r="247" spans="1:14" x14ac:dyDescent="0.3">
      <c r="A247" s="1">
        <v>246</v>
      </c>
      <c r="B247" s="1" t="s">
        <v>15</v>
      </c>
      <c r="C247">
        <v>180</v>
      </c>
      <c r="D247">
        <v>202.5</v>
      </c>
      <c r="E247">
        <v>4.5</v>
      </c>
      <c r="F247">
        <v>5</v>
      </c>
      <c r="G247">
        <v>18</v>
      </c>
      <c r="H247">
        <v>20</v>
      </c>
      <c r="I247">
        <v>4.5350001999999998</v>
      </c>
      <c r="J247">
        <v>18.181817048837399</v>
      </c>
      <c r="K247">
        <v>201</v>
      </c>
      <c r="L247">
        <v>2</v>
      </c>
      <c r="M247" s="11">
        <f t="shared" si="8"/>
        <v>4.9971641093679337E-6</v>
      </c>
      <c r="N247" s="12">
        <f t="shared" si="9"/>
        <v>1.8239648999192957E-3</v>
      </c>
    </row>
    <row r="248" spans="1:14" x14ac:dyDescent="0.3">
      <c r="A248" s="1">
        <v>247</v>
      </c>
      <c r="B248" s="1" t="s">
        <v>16</v>
      </c>
      <c r="C248">
        <v>202.5</v>
      </c>
      <c r="D248">
        <v>225</v>
      </c>
      <c r="E248">
        <v>0.5</v>
      </c>
      <c r="F248">
        <v>1</v>
      </c>
      <c r="G248">
        <v>20</v>
      </c>
      <c r="H248">
        <v>22</v>
      </c>
      <c r="I248">
        <v>0.92400005500000004</v>
      </c>
      <c r="J248">
        <v>21.276594786797201</v>
      </c>
      <c r="K248">
        <v>217.5</v>
      </c>
      <c r="L248">
        <v>2</v>
      </c>
      <c r="M248" s="11">
        <f t="shared" si="8"/>
        <v>4.9971641093679337E-6</v>
      </c>
      <c r="N248" s="12">
        <f t="shared" si="9"/>
        <v>1.8239648999192957E-3</v>
      </c>
    </row>
    <row r="249" spans="1:14" x14ac:dyDescent="0.3">
      <c r="A249" s="1">
        <v>248</v>
      </c>
      <c r="B249" s="1" t="s">
        <v>16</v>
      </c>
      <c r="C249">
        <v>202.5</v>
      </c>
      <c r="D249">
        <v>225</v>
      </c>
      <c r="E249">
        <v>2</v>
      </c>
      <c r="F249">
        <v>2.5</v>
      </c>
      <c r="G249">
        <v>26</v>
      </c>
      <c r="H249">
        <v>28</v>
      </c>
      <c r="I249">
        <v>2.4590000999999999</v>
      </c>
      <c r="J249">
        <v>26.315787740031201</v>
      </c>
      <c r="K249">
        <v>217</v>
      </c>
      <c r="L249">
        <v>2</v>
      </c>
      <c r="M249" s="11">
        <f t="shared" si="8"/>
        <v>4.9971641093679337E-6</v>
      </c>
      <c r="N249" s="12">
        <f t="shared" si="9"/>
        <v>1.8239648999192957E-3</v>
      </c>
    </row>
    <row r="250" spans="1:14" x14ac:dyDescent="0.3">
      <c r="A250" s="1">
        <v>249</v>
      </c>
      <c r="B250" s="1" t="s">
        <v>17</v>
      </c>
      <c r="C250">
        <v>225</v>
      </c>
      <c r="D250">
        <v>247.5</v>
      </c>
      <c r="E250">
        <v>2</v>
      </c>
      <c r="F250">
        <v>2.5</v>
      </c>
      <c r="G250">
        <v>6</v>
      </c>
      <c r="H250">
        <v>8</v>
      </c>
      <c r="I250">
        <v>2.0259999999999998</v>
      </c>
      <c r="J250">
        <v>6.2893078083017198</v>
      </c>
      <c r="K250">
        <v>230.5</v>
      </c>
      <c r="L250">
        <v>2</v>
      </c>
      <c r="M250" s="11">
        <f t="shared" si="8"/>
        <v>4.9971641093679337E-6</v>
      </c>
      <c r="N250" s="12">
        <f t="shared" si="9"/>
        <v>1.8239648999192957E-3</v>
      </c>
    </row>
    <row r="251" spans="1:14" x14ac:dyDescent="0.3">
      <c r="A251" s="1">
        <v>250</v>
      </c>
      <c r="B251" s="1" t="s">
        <v>17</v>
      </c>
      <c r="C251">
        <v>225</v>
      </c>
      <c r="D251">
        <v>247.5</v>
      </c>
      <c r="E251">
        <v>2.5</v>
      </c>
      <c r="F251">
        <v>3</v>
      </c>
      <c r="G251">
        <v>22</v>
      </c>
      <c r="H251">
        <v>24</v>
      </c>
      <c r="I251">
        <v>2.754</v>
      </c>
      <c r="J251">
        <v>22.739017251446501</v>
      </c>
      <c r="K251">
        <v>226</v>
      </c>
      <c r="L251">
        <v>2</v>
      </c>
      <c r="M251" s="11">
        <f t="shared" si="8"/>
        <v>4.9971641093679337E-6</v>
      </c>
      <c r="N251" s="12">
        <f t="shared" si="9"/>
        <v>1.8239648999192957E-3</v>
      </c>
    </row>
    <row r="252" spans="1:14" x14ac:dyDescent="0.3">
      <c r="A252" s="1">
        <v>251</v>
      </c>
      <c r="B252" s="1" t="s">
        <v>18</v>
      </c>
      <c r="C252">
        <v>247.5</v>
      </c>
      <c r="D252">
        <v>270</v>
      </c>
      <c r="E252">
        <v>1.5</v>
      </c>
      <c r="F252">
        <v>2</v>
      </c>
      <c r="G252">
        <v>20</v>
      </c>
      <c r="H252">
        <v>22</v>
      </c>
      <c r="I252">
        <v>1.9910000999999999</v>
      </c>
      <c r="J252">
        <v>20.6207476998635</v>
      </c>
      <c r="K252">
        <v>254.5</v>
      </c>
      <c r="L252">
        <v>2</v>
      </c>
      <c r="M252" s="11">
        <f t="shared" si="8"/>
        <v>4.9971641093679337E-6</v>
      </c>
      <c r="N252" s="12">
        <f t="shared" si="9"/>
        <v>1.8239648999192957E-3</v>
      </c>
    </row>
    <row r="253" spans="1:14" x14ac:dyDescent="0.3">
      <c r="A253" s="1">
        <v>252</v>
      </c>
      <c r="B253" s="1" t="s">
        <v>20</v>
      </c>
      <c r="C253">
        <v>292.5</v>
      </c>
      <c r="D253">
        <v>315</v>
      </c>
      <c r="E253">
        <v>1.5</v>
      </c>
      <c r="F253">
        <v>2</v>
      </c>
      <c r="G253">
        <v>12</v>
      </c>
      <c r="H253">
        <v>14</v>
      </c>
      <c r="I253">
        <v>1.5580000000000001</v>
      </c>
      <c r="J253">
        <v>13.8888880495488</v>
      </c>
      <c r="K253">
        <v>299</v>
      </c>
      <c r="L253">
        <v>2</v>
      </c>
      <c r="M253" s="11">
        <f t="shared" si="8"/>
        <v>4.9971641093679337E-6</v>
      </c>
      <c r="N253" s="12">
        <f t="shared" si="9"/>
        <v>1.8239648999192957E-3</v>
      </c>
    </row>
    <row r="254" spans="1:14" x14ac:dyDescent="0.3">
      <c r="A254" s="1">
        <v>253</v>
      </c>
      <c r="B254" s="1" t="s">
        <v>15</v>
      </c>
      <c r="C254">
        <v>180</v>
      </c>
      <c r="D254">
        <v>202.5</v>
      </c>
      <c r="E254">
        <v>0.5</v>
      </c>
      <c r="F254">
        <v>1</v>
      </c>
      <c r="G254">
        <v>12</v>
      </c>
      <c r="H254">
        <v>14</v>
      </c>
      <c r="I254">
        <v>1</v>
      </c>
      <c r="J254">
        <v>13.8888880495488</v>
      </c>
      <c r="K254">
        <v>195</v>
      </c>
      <c r="L254">
        <v>1</v>
      </c>
      <c r="M254" s="11">
        <f t="shared" si="8"/>
        <v>2.4985820546839668E-6</v>
      </c>
      <c r="N254" s="12">
        <f t="shared" si="9"/>
        <v>9.1198244995964787E-4</v>
      </c>
    </row>
    <row r="255" spans="1:14" x14ac:dyDescent="0.3">
      <c r="A255" s="1">
        <v>254</v>
      </c>
      <c r="B255" s="1" t="s">
        <v>16</v>
      </c>
      <c r="C255">
        <v>202.5</v>
      </c>
      <c r="D255">
        <v>225</v>
      </c>
      <c r="E255">
        <v>0.5</v>
      </c>
      <c r="F255">
        <v>1</v>
      </c>
      <c r="G255">
        <v>18</v>
      </c>
      <c r="H255">
        <v>20</v>
      </c>
      <c r="I255">
        <v>0.98</v>
      </c>
      <c r="J255">
        <v>19.607842071658599</v>
      </c>
      <c r="K255">
        <v>216</v>
      </c>
      <c r="L255">
        <v>1</v>
      </c>
      <c r="M255" s="11">
        <f t="shared" si="8"/>
        <v>2.4985820546839668E-6</v>
      </c>
      <c r="N255" s="12">
        <f t="shared" si="9"/>
        <v>9.1198244995964787E-4</v>
      </c>
    </row>
    <row r="256" spans="1:14" x14ac:dyDescent="0.3">
      <c r="A256" s="1">
        <v>255</v>
      </c>
      <c r="B256" s="1" t="s">
        <v>16</v>
      </c>
      <c r="C256">
        <v>202.5</v>
      </c>
      <c r="D256">
        <v>225</v>
      </c>
      <c r="E256">
        <v>2</v>
      </c>
      <c r="F256">
        <v>2.5</v>
      </c>
      <c r="G256">
        <v>24</v>
      </c>
      <c r="H256">
        <v>26</v>
      </c>
      <c r="I256">
        <v>2.496</v>
      </c>
      <c r="J256">
        <v>25.641025111990299</v>
      </c>
      <c r="K256">
        <v>218</v>
      </c>
      <c r="L256">
        <v>1</v>
      </c>
      <c r="M256" s="11">
        <f t="shared" si="8"/>
        <v>2.4985820546839668E-6</v>
      </c>
      <c r="N256" s="12">
        <f t="shared" si="9"/>
        <v>9.1198244995964787E-4</v>
      </c>
    </row>
  </sheetData>
  <autoFilter ref="B1:N256" xr:uid="{00000000-0009-0000-0000-000000000000}">
    <sortState xmlns:xlrd2="http://schemas.microsoft.com/office/spreadsheetml/2017/richdata2" ref="B2:N2689">
      <sortCondition descending="1" ref="L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1A17-CF69-4DA2-A533-18DC897488B5}">
  <dimension ref="A1:K211"/>
  <sheetViews>
    <sheetView workbookViewId="0">
      <selection activeCell="I5" sqref="I5"/>
    </sheetView>
  </sheetViews>
  <sheetFormatPr baseColWidth="10" defaultRowHeight="14.4" x14ac:dyDescent="0.3"/>
  <cols>
    <col min="1" max="1" width="11.44140625" customWidth="1"/>
    <col min="3" max="3" width="7.33203125" customWidth="1"/>
    <col min="4" max="4" width="16.21875" customWidth="1"/>
    <col min="5" max="5" width="12.5546875" customWidth="1"/>
    <col min="8" max="8" width="16.77734375" customWidth="1"/>
    <col min="9" max="9" width="18.44140625" customWidth="1"/>
    <col min="10" max="11" width="19.5546875" customWidth="1"/>
  </cols>
  <sheetData>
    <row r="1" spans="1:11" x14ac:dyDescent="0.3">
      <c r="A1" t="s">
        <v>115</v>
      </c>
      <c r="B1" t="s">
        <v>116</v>
      </c>
      <c r="C1" t="s">
        <v>125</v>
      </c>
      <c r="D1" t="s">
        <v>126</v>
      </c>
      <c r="E1" t="s">
        <v>117</v>
      </c>
      <c r="F1" t="s">
        <v>118</v>
      </c>
      <c r="G1" t="s">
        <v>119</v>
      </c>
      <c r="H1" t="s">
        <v>120</v>
      </c>
      <c r="I1" t="s">
        <v>11</v>
      </c>
      <c r="J1" t="s">
        <v>123</v>
      </c>
      <c r="K1" t="s">
        <v>121</v>
      </c>
    </row>
    <row r="2" spans="1:11" x14ac:dyDescent="0.3">
      <c r="A2" t="s">
        <v>157</v>
      </c>
      <c r="B2" t="s">
        <v>167</v>
      </c>
      <c r="C2" t="s">
        <v>17</v>
      </c>
      <c r="D2" t="str">
        <f>VLOOKUP(ocurrencias[[#This Row],[Dir]],'Rosa 16'!$B$1:$G$17,4,FALSE)</f>
        <v>213,75° – 236,25°</v>
      </c>
      <c r="E2">
        <v>38929</v>
      </c>
      <c r="F2" s="50">
        <v>2.21660510159521</v>
      </c>
      <c r="G2" s="50">
        <v>15.1806609468519</v>
      </c>
      <c r="H2" s="50">
        <v>220.60083742197301</v>
      </c>
      <c r="I2" s="51">
        <f>ocurrencias[[#This Row],[conteo]]/ocurrencias[[#Totals],[conteo]]</f>
        <v>9.7267543837731688E-2</v>
      </c>
      <c r="J2" s="50">
        <f>365*ocurrencias[[#This Row],[conteo]]/ocurrencias[[#Totals],[conteo]]</f>
        <v>35.502653500772063</v>
      </c>
      <c r="K2" s="50">
        <v>9.7267543837731605</v>
      </c>
    </row>
    <row r="3" spans="1:11" x14ac:dyDescent="0.3">
      <c r="A3" t="s">
        <v>157</v>
      </c>
      <c r="B3" t="s">
        <v>167</v>
      </c>
      <c r="C3" t="s">
        <v>16</v>
      </c>
      <c r="D3" t="str">
        <f>VLOOKUP(ocurrencias[[#This Row],[Dir]],'Rosa 16'!$B$1:$G$17,4,FALSE)</f>
        <v>191,25° – 213,75°</v>
      </c>
      <c r="E3">
        <v>38178</v>
      </c>
      <c r="F3" s="50">
        <v>2.2538150243595698</v>
      </c>
      <c r="G3" s="50">
        <v>14.9713819477185</v>
      </c>
      <c r="H3" s="50">
        <v>207.11807847451399</v>
      </c>
      <c r="I3" s="51">
        <f>ocurrencias[[#This Row],[conteo]]/ocurrencias[[#Totals],[conteo]]</f>
        <v>9.5391104026225179E-2</v>
      </c>
      <c r="J3" s="50">
        <f>365*ocurrencias[[#This Row],[conteo]]/ocurrencias[[#Totals],[conteo]]</f>
        <v>34.81775296957219</v>
      </c>
      <c r="K3" s="50">
        <v>9.5391104026225104</v>
      </c>
    </row>
    <row r="4" spans="1:11" x14ac:dyDescent="0.3">
      <c r="A4" t="s">
        <v>156</v>
      </c>
      <c r="B4" t="s">
        <v>166</v>
      </c>
      <c r="C4" t="s">
        <v>16</v>
      </c>
      <c r="D4" t="str">
        <f>VLOOKUP(ocurrencias[[#This Row],[Dir]],'Rosa 16'!$B$1:$G$17,4,FALSE)</f>
        <v>191,25° – 213,75°</v>
      </c>
      <c r="E4">
        <v>37032</v>
      </c>
      <c r="F4" s="50">
        <v>1.7832790559516001</v>
      </c>
      <c r="G4" s="50">
        <v>12.6939916828688</v>
      </c>
      <c r="H4" s="50">
        <v>206.53999243897101</v>
      </c>
      <c r="I4" s="51">
        <f>ocurrencias[[#This Row],[conteo]]/ocurrencias[[#Totals],[conteo]]</f>
        <v>9.2527721837162E-2</v>
      </c>
      <c r="J4" s="50">
        <f>365*ocurrencias[[#This Row],[conteo]]/ocurrencias[[#Totals],[conteo]]</f>
        <v>33.772618470564133</v>
      </c>
      <c r="K4">
        <v>9.2527721837161998</v>
      </c>
    </row>
    <row r="5" spans="1:11" x14ac:dyDescent="0.3">
      <c r="A5" t="s">
        <v>156</v>
      </c>
      <c r="B5" t="s">
        <v>166</v>
      </c>
      <c r="C5" t="s">
        <v>17</v>
      </c>
      <c r="D5" t="str">
        <f>VLOOKUP(ocurrencias[[#This Row],[Dir]],'Rosa 16'!$B$1:$G$17,4,FALSE)</f>
        <v>213,75° – 236,25°</v>
      </c>
      <c r="E5">
        <v>36518</v>
      </c>
      <c r="F5" s="50">
        <v>1.74473273454186</v>
      </c>
      <c r="G5" s="50">
        <v>12.9807232049947</v>
      </c>
      <c r="H5" s="50">
        <v>220.72205487704599</v>
      </c>
      <c r="I5" s="51">
        <f>ocurrencias[[#This Row],[conteo]]/ocurrencias[[#Totals],[conteo]]</f>
        <v>9.1243447452189513E-2</v>
      </c>
      <c r="J5" s="50">
        <f>365*ocurrencias[[#This Row],[conteo]]/ocurrencias[[#Totals],[conteo]]</f>
        <v>33.303858320049173</v>
      </c>
      <c r="K5" s="50">
        <v>9.1243447452189503</v>
      </c>
    </row>
    <row r="6" spans="1:11" x14ac:dyDescent="0.3">
      <c r="A6" t="s">
        <v>156</v>
      </c>
      <c r="B6" t="s">
        <v>167</v>
      </c>
      <c r="C6" t="s">
        <v>17</v>
      </c>
      <c r="D6" t="str">
        <f>VLOOKUP(ocurrencias[[#This Row],[Dir]],'Rosa 16'!$B$1:$G$17,4,FALSE)</f>
        <v>213,75° – 236,25°</v>
      </c>
      <c r="E6">
        <v>31049</v>
      </c>
      <c r="F6" s="50">
        <v>1.80797223743115</v>
      </c>
      <c r="G6" s="50">
        <v>14.953574028148999</v>
      </c>
      <c r="H6" s="50">
        <v>222.120100486328</v>
      </c>
      <c r="I6" s="51">
        <f>ocurrencias[[#This Row],[conteo]]/ocurrencias[[#Totals],[conteo]]</f>
        <v>7.7578668052550315E-2</v>
      </c>
      <c r="J6" s="50">
        <f>365*ocurrencias[[#This Row],[conteo]]/ocurrencias[[#Totals],[conteo]]</f>
        <v>28.316213839180861</v>
      </c>
      <c r="K6" s="50">
        <v>7.7578668052550297</v>
      </c>
    </row>
    <row r="7" spans="1:11" x14ac:dyDescent="0.3">
      <c r="A7" t="s">
        <v>157</v>
      </c>
      <c r="B7" t="s">
        <v>166</v>
      </c>
      <c r="C7" t="s">
        <v>16</v>
      </c>
      <c r="D7" t="str">
        <f>VLOOKUP(ocurrencias[[#This Row],[Dir]],'Rosa 16'!$B$1:$G$17,4,FALSE)</f>
        <v>191,25° – 213,75°</v>
      </c>
      <c r="E7">
        <v>25759</v>
      </c>
      <c r="F7" s="50">
        <v>2.1926095733530002</v>
      </c>
      <c r="G7" s="50">
        <v>13.0223840211188</v>
      </c>
      <c r="H7" s="50">
        <v>205.16743662409201</v>
      </c>
      <c r="I7" s="51">
        <f>ocurrencias[[#This Row],[conteo]]/ocurrencias[[#Totals],[conteo]]</f>
        <v>6.436113595818363E-2</v>
      </c>
      <c r="J7" s="50">
        <f>365*ocurrencias[[#This Row],[conteo]]/ocurrencias[[#Totals],[conteo]]</f>
        <v>23.491814624737025</v>
      </c>
      <c r="K7" s="50">
        <v>6.4361135958183597</v>
      </c>
    </row>
    <row r="8" spans="1:11" x14ac:dyDescent="0.3">
      <c r="A8" t="s">
        <v>158</v>
      </c>
      <c r="B8" t="s">
        <v>167</v>
      </c>
      <c r="C8" t="s">
        <v>16</v>
      </c>
      <c r="D8" t="str">
        <f>VLOOKUP(ocurrencias[[#This Row],[Dir]],'Rosa 16'!$B$1:$G$17,4,FALSE)</f>
        <v>191,25° – 213,75°</v>
      </c>
      <c r="E8">
        <v>24823</v>
      </c>
      <c r="F8">
        <v>2.7079881561455101</v>
      </c>
      <c r="G8" s="50">
        <v>15.3227406034725</v>
      </c>
      <c r="H8" s="50">
        <v>206.499214438222</v>
      </c>
      <c r="I8" s="51">
        <f>ocurrencias[[#This Row],[conteo]]/ocurrencias[[#Totals],[conteo]]</f>
        <v>6.2022457311618935E-2</v>
      </c>
      <c r="J8" s="50">
        <f>365*ocurrencias[[#This Row],[conteo]]/ocurrencias[[#Totals],[conteo]]</f>
        <v>22.63819691874091</v>
      </c>
      <c r="K8" s="50">
        <v>6.2022457311618897</v>
      </c>
    </row>
    <row r="9" spans="1:11" x14ac:dyDescent="0.3">
      <c r="A9" t="s">
        <v>156</v>
      </c>
      <c r="B9" t="s">
        <v>167</v>
      </c>
      <c r="C9" t="s">
        <v>16</v>
      </c>
      <c r="D9" t="str">
        <f>VLOOKUP(ocurrencias[[#This Row],[Dir]],'Rosa 16'!$B$1:$G$17,4,FALSE)</f>
        <v>191,25° – 213,75°</v>
      </c>
      <c r="E9">
        <v>14773</v>
      </c>
      <c r="F9" s="50">
        <v>1.8292391525079501</v>
      </c>
      <c r="G9" s="50">
        <v>14.890076490895501</v>
      </c>
      <c r="H9">
        <v>207.3975495837</v>
      </c>
      <c r="I9" s="51">
        <f>ocurrencias[[#This Row],[conteo]]/ocurrencias[[#Totals],[conteo]]</f>
        <v>3.6911644920619852E-2</v>
      </c>
      <c r="J9" s="50">
        <f>365*ocurrencias[[#This Row],[conteo]]/ocurrencias[[#Totals],[conteo]]</f>
        <v>13.472750396026246</v>
      </c>
      <c r="K9" s="50">
        <v>3.6911644920619802</v>
      </c>
    </row>
    <row r="10" spans="1:11" x14ac:dyDescent="0.3">
      <c r="A10" t="s">
        <v>158</v>
      </c>
      <c r="B10" t="s">
        <v>167</v>
      </c>
      <c r="C10" t="s">
        <v>17</v>
      </c>
      <c r="D10" t="str">
        <f>VLOOKUP(ocurrencias[[#This Row],[Dir]],'Rosa 16'!$B$1:$G$17,4,FALSE)</f>
        <v>213,75° – 236,25°</v>
      </c>
      <c r="E10">
        <v>11962</v>
      </c>
      <c r="F10" s="50">
        <v>2.6825238254472401</v>
      </c>
      <c r="G10" s="50">
        <v>15.5143211837485</v>
      </c>
      <c r="H10" s="50">
        <v>219.331967898344</v>
      </c>
      <c r="I10" s="51">
        <f>ocurrencias[[#This Row],[conteo]]/ocurrencias[[#Totals],[conteo]]</f>
        <v>2.9888113216032942E-2</v>
      </c>
      <c r="J10" s="50">
        <f>365*ocurrencias[[#This Row],[conteo]]/ocurrencias[[#Totals],[conteo]]</f>
        <v>10.909161323852024</v>
      </c>
      <c r="K10" s="50">
        <v>2.9888113216032899</v>
      </c>
    </row>
    <row r="11" spans="1:11" x14ac:dyDescent="0.3">
      <c r="A11" t="s">
        <v>157</v>
      </c>
      <c r="B11" t="s">
        <v>166</v>
      </c>
      <c r="C11" t="s">
        <v>17</v>
      </c>
      <c r="D11" t="str">
        <f>VLOOKUP(ocurrencias[[#This Row],[Dir]],'Rosa 16'!$B$1:$G$17,4,FALSE)</f>
        <v>213,75° – 236,25°</v>
      </c>
      <c r="E11">
        <v>11818</v>
      </c>
      <c r="F11">
        <v>2.17379844305297</v>
      </c>
      <c r="G11" s="50">
        <v>13.1761524792689</v>
      </c>
      <c r="H11" s="50">
        <v>219.82805889321301</v>
      </c>
      <c r="I11" s="51">
        <f>ocurrencias[[#This Row],[conteo]]/ocurrencias[[#Totals],[conteo]]</f>
        <v>2.9528316501176835E-2</v>
      </c>
      <c r="J11" s="50">
        <f>365*ocurrencias[[#This Row],[conteo]]/ocurrencias[[#Totals],[conteo]]</f>
        <v>10.777835522929545</v>
      </c>
      <c r="K11" s="50">
        <v>2.9528316501176799</v>
      </c>
    </row>
    <row r="12" spans="1:11" x14ac:dyDescent="0.3">
      <c r="A12" t="s">
        <v>157</v>
      </c>
      <c r="B12" t="s">
        <v>168</v>
      </c>
      <c r="C12" t="s">
        <v>17</v>
      </c>
      <c r="D12" t="str">
        <f>VLOOKUP(ocurrencias[[#This Row],[Dir]],'Rosa 16'!$B$1:$G$17,4,FALSE)</f>
        <v>213,75° – 236,25°</v>
      </c>
      <c r="E12">
        <v>8961</v>
      </c>
      <c r="F12" s="50">
        <v>2.2428668675371002</v>
      </c>
      <c r="G12" s="50">
        <v>18.063832161589101</v>
      </c>
      <c r="H12" s="50">
        <v>220.55518357326099</v>
      </c>
      <c r="I12" s="51">
        <f>ocurrencias[[#This Row],[conteo]]/ocurrencias[[#Totals],[conteo]]</f>
        <v>2.2389849734899783E-2</v>
      </c>
      <c r="J12" s="50">
        <f>365*ocurrencias[[#This Row],[conteo]]/ocurrencias[[#Totals],[conteo]]</f>
        <v>8.1722951532384212</v>
      </c>
      <c r="K12" s="50">
        <v>2.2389849734899698</v>
      </c>
    </row>
    <row r="13" spans="1:11" x14ac:dyDescent="0.3">
      <c r="A13" t="s">
        <v>159</v>
      </c>
      <c r="B13" t="s">
        <v>167</v>
      </c>
      <c r="C13" t="s">
        <v>16</v>
      </c>
      <c r="D13" t="str">
        <f>VLOOKUP(ocurrencias[[#This Row],[Dir]],'Rosa 16'!$B$1:$G$17,4,FALSE)</f>
        <v>191,25° – 213,75°</v>
      </c>
      <c r="E13">
        <v>7705</v>
      </c>
      <c r="F13" s="50">
        <v>3.1860324464633298</v>
      </c>
      <c r="G13" s="50">
        <v>15.5613692407527</v>
      </c>
      <c r="H13" s="50">
        <v>205.98961713173199</v>
      </c>
      <c r="I13" s="51">
        <f>ocurrencias[[#This Row],[conteo]]/ocurrencias[[#Totals],[conteo]]</f>
        <v>1.9251622833099297E-2</v>
      </c>
      <c r="J13" s="50">
        <f>365*ocurrencias[[#This Row],[conteo]]/ocurrencias[[#Totals],[conteo]]</f>
        <v>7.0268423340812438</v>
      </c>
      <c r="K13">
        <v>1.92516228330993</v>
      </c>
    </row>
    <row r="14" spans="1:11" x14ac:dyDescent="0.3">
      <c r="A14" t="s">
        <v>155</v>
      </c>
      <c r="B14" t="s">
        <v>166</v>
      </c>
      <c r="C14" t="s">
        <v>17</v>
      </c>
      <c r="D14" t="str">
        <f>VLOOKUP(ocurrencias[[#This Row],[Dir]],'Rosa 16'!$B$1:$G$17,4,FALSE)</f>
        <v>213,75° – 236,25°</v>
      </c>
      <c r="E14">
        <v>6613</v>
      </c>
      <c r="F14" s="50">
        <v>1.3835551187055799</v>
      </c>
      <c r="G14" s="50">
        <v>12.4788220172387</v>
      </c>
      <c r="H14" s="50">
        <v>221.231513685165</v>
      </c>
      <c r="I14" s="51">
        <f>ocurrencias[[#This Row],[conteo]]/ocurrencias[[#Totals],[conteo]]</f>
        <v>1.6523164412107161E-2</v>
      </c>
      <c r="J14" s="50">
        <f>365*ocurrencias[[#This Row],[conteo]]/ocurrencias[[#Totals],[conteo]]</f>
        <v>6.0309550104191132</v>
      </c>
      <c r="K14" s="50">
        <v>1.6523164412107101</v>
      </c>
    </row>
    <row r="15" spans="1:11" x14ac:dyDescent="0.3">
      <c r="A15" t="s">
        <v>158</v>
      </c>
      <c r="B15" t="s">
        <v>166</v>
      </c>
      <c r="C15" t="s">
        <v>16</v>
      </c>
      <c r="D15" t="str">
        <f>VLOOKUP(ocurrencias[[#This Row],[Dir]],'Rosa 16'!$B$1:$G$17,4,FALSE)</f>
        <v>191,25° – 213,75°</v>
      </c>
      <c r="E15">
        <v>6046</v>
      </c>
      <c r="F15" s="50">
        <v>2.6732914323519599</v>
      </c>
      <c r="G15" s="50">
        <v>13.108271584518601</v>
      </c>
      <c r="H15" s="50">
        <v>203.78597419781599</v>
      </c>
      <c r="I15" s="51">
        <f>ocurrencias[[#This Row],[conteo]]/ocurrencias[[#Totals],[conteo]]</f>
        <v>1.510646484736124E-2</v>
      </c>
      <c r="J15" s="50">
        <f>365*ocurrencias[[#This Row],[conteo]]/ocurrencias[[#Totals],[conteo]]</f>
        <v>5.5138596692868527</v>
      </c>
      <c r="K15" s="50">
        <v>1.5106464847361201</v>
      </c>
    </row>
    <row r="16" spans="1:11" x14ac:dyDescent="0.3">
      <c r="A16" t="s">
        <v>156</v>
      </c>
      <c r="B16" t="s">
        <v>168</v>
      </c>
      <c r="C16" t="s">
        <v>17</v>
      </c>
      <c r="D16" t="str">
        <f>VLOOKUP(ocurrencias[[#This Row],[Dir]],'Rosa 16'!$B$1:$G$17,4,FALSE)</f>
        <v>213,75° – 236,25°</v>
      </c>
      <c r="E16">
        <v>5447</v>
      </c>
      <c r="F16" s="50">
        <v>1.8186928584541899</v>
      </c>
      <c r="G16" s="50">
        <v>18.026812924545599</v>
      </c>
      <c r="H16" s="50">
        <v>221.045529649348</v>
      </c>
      <c r="I16" s="51">
        <f>ocurrencias[[#This Row],[conteo]]/ocurrencias[[#Totals],[conteo]]</f>
        <v>1.3609810457091743E-2</v>
      </c>
      <c r="J16" s="50">
        <f>365*ocurrencias[[#This Row],[conteo]]/ocurrencias[[#Totals],[conteo]]</f>
        <v>4.9675808168384865</v>
      </c>
      <c r="K16" s="50">
        <v>1.36098104570917</v>
      </c>
    </row>
    <row r="17" spans="1:11" x14ac:dyDescent="0.3">
      <c r="A17" t="s">
        <v>157</v>
      </c>
      <c r="B17" t="s">
        <v>168</v>
      </c>
      <c r="C17" t="s">
        <v>16</v>
      </c>
      <c r="D17" t="str">
        <f>VLOOKUP(ocurrencias[[#This Row],[Dir]],'Rosa 16'!$B$1:$G$17,4,FALSE)</f>
        <v>191,25° – 213,75°</v>
      </c>
      <c r="E17">
        <v>4812</v>
      </c>
      <c r="F17" s="50">
        <v>2.2600748129675798</v>
      </c>
      <c r="G17" s="50">
        <v>17.986832917705701</v>
      </c>
      <c r="H17" s="50">
        <v>207.41292601828701</v>
      </c>
      <c r="I17" s="51">
        <f>ocurrencias[[#This Row],[conteo]]/ocurrencias[[#Totals],[conteo]]</f>
        <v>1.2023206888108219E-2</v>
      </c>
      <c r="J17" s="50">
        <f>365*ocurrencias[[#This Row],[conteo]]/ocurrencias[[#Totals],[conteo]]</f>
        <v>4.3884705141594997</v>
      </c>
      <c r="K17" s="50">
        <v>1.20232068881082</v>
      </c>
    </row>
    <row r="18" spans="1:11" x14ac:dyDescent="0.3">
      <c r="A18" t="s">
        <v>156</v>
      </c>
      <c r="B18" t="s">
        <v>167</v>
      </c>
      <c r="C18" t="s">
        <v>18</v>
      </c>
      <c r="D18" t="str">
        <f>VLOOKUP(ocurrencias[[#This Row],[Dir]],'Rosa 16'!$B$1:$G$17,4,FALSE)</f>
        <v>236,25° – 258,75°</v>
      </c>
      <c r="E18">
        <v>4756</v>
      </c>
      <c r="F18" s="50">
        <v>1.7599978973927599</v>
      </c>
      <c r="G18" s="50">
        <v>15.049718250630701</v>
      </c>
      <c r="H18" s="50">
        <v>245.471614802354</v>
      </c>
      <c r="I18" s="51">
        <f>ocurrencias[[#This Row],[conteo]]/ocurrencias[[#Totals],[conteo]]</f>
        <v>1.1883285943441955E-2</v>
      </c>
      <c r="J18" s="50">
        <f>365*ocurrencias[[#This Row],[conteo]]/ocurrencias[[#Totals],[conteo]]</f>
        <v>4.337399369356314</v>
      </c>
      <c r="K18" s="50">
        <v>1.1883285943441899</v>
      </c>
    </row>
    <row r="19" spans="1:11" x14ac:dyDescent="0.3">
      <c r="A19" t="s">
        <v>158</v>
      </c>
      <c r="B19" t="s">
        <v>168</v>
      </c>
      <c r="C19" t="s">
        <v>16</v>
      </c>
      <c r="D19" t="str">
        <f>VLOOKUP(ocurrencias[[#This Row],[Dir]],'Rosa 16'!$B$1:$G$17,4,FALSE)</f>
        <v>191,25° – 213,75°</v>
      </c>
      <c r="E19">
        <v>4698</v>
      </c>
      <c r="F19" s="50">
        <v>2.7298275862068899</v>
      </c>
      <c r="G19" s="50">
        <v>17.853263090676801</v>
      </c>
      <c r="H19" s="50">
        <v>206.63537675606599</v>
      </c>
      <c r="I19" s="51">
        <f>ocurrencias[[#This Row],[conteo]]/ocurrencias[[#Totals],[conteo]]</f>
        <v>1.1738367822180467E-2</v>
      </c>
      <c r="J19" s="50">
        <f>365*ocurrencias[[#This Row],[conteo]]/ocurrencias[[#Totals],[conteo]]</f>
        <v>4.2845042550958707</v>
      </c>
      <c r="K19" s="50">
        <v>1.17383678221804</v>
      </c>
    </row>
    <row r="20" spans="1:11" x14ac:dyDescent="0.3">
      <c r="A20" t="s">
        <v>158</v>
      </c>
      <c r="B20" t="s">
        <v>168</v>
      </c>
      <c r="C20" t="s">
        <v>17</v>
      </c>
      <c r="D20" t="str">
        <f>VLOOKUP(ocurrencias[[#This Row],[Dir]],'Rosa 16'!$B$1:$G$17,4,FALSE)</f>
        <v>213,75° – 236,25°</v>
      </c>
      <c r="E20">
        <v>4332</v>
      </c>
      <c r="F20" s="50">
        <v>2.6814796860572399</v>
      </c>
      <c r="G20" s="50">
        <v>18.0132502308402</v>
      </c>
      <c r="H20" s="50">
        <v>219.78739612188301</v>
      </c>
      <c r="I20" s="51">
        <f>ocurrencias[[#This Row],[conteo]]/ocurrencias[[#Totals],[conteo]]</f>
        <v>1.0823884505254532E-2</v>
      </c>
      <c r="J20" s="50">
        <f>365*ocurrencias[[#This Row],[conteo]]/ocurrencias[[#Totals],[conteo]]</f>
        <v>3.9507178444179041</v>
      </c>
      <c r="K20" s="50">
        <v>1.08238845052545</v>
      </c>
    </row>
    <row r="21" spans="1:11" x14ac:dyDescent="0.3">
      <c r="A21" t="s">
        <v>157</v>
      </c>
      <c r="B21" t="s">
        <v>165</v>
      </c>
      <c r="C21" t="s">
        <v>15</v>
      </c>
      <c r="D21" t="str">
        <f>VLOOKUP(ocurrencias[[#This Row],[Dir]],'Rosa 16'!$B$1:$G$17,4,FALSE)</f>
        <v>168,75° – 191,25°</v>
      </c>
      <c r="E21">
        <v>4187</v>
      </c>
      <c r="F21" s="50">
        <v>2.2447504179603501</v>
      </c>
      <c r="G21" s="50">
        <v>9.2639192739431504</v>
      </c>
      <c r="H21" s="50">
        <v>183.10795318844001</v>
      </c>
      <c r="I21" s="51">
        <f>ocurrencias[[#This Row],[conteo]]/ocurrencias[[#Totals],[conteo]]</f>
        <v>1.0461589202100814E-2</v>
      </c>
      <c r="J21" s="50">
        <f>365*ocurrencias[[#This Row],[conteo]]/ocurrencias[[#Totals],[conteo]]</f>
        <v>3.8184800587667969</v>
      </c>
      <c r="K21" s="50">
        <v>1.0461589202100801</v>
      </c>
    </row>
    <row r="22" spans="1:11" x14ac:dyDescent="0.3">
      <c r="A22" t="s">
        <v>156</v>
      </c>
      <c r="B22" t="s">
        <v>167</v>
      </c>
      <c r="C22" t="s">
        <v>20</v>
      </c>
      <c r="D22" t="str">
        <f>VLOOKUP(ocurrencias[[#This Row],[Dir]],'Rosa 16'!$B$1:$G$17,4,FALSE)</f>
        <v>281,25° – 303,75°</v>
      </c>
      <c r="E22">
        <v>3991</v>
      </c>
      <c r="F22" s="50">
        <v>1.7042019543973901</v>
      </c>
      <c r="G22" s="50">
        <v>15.676289150588801</v>
      </c>
      <c r="H22" s="50">
        <v>295.03382610874399</v>
      </c>
      <c r="I22" s="51">
        <f>ocurrencias[[#This Row],[conteo]]/ocurrencias[[#Totals],[conteo]]</f>
        <v>9.9718658957688912E-3</v>
      </c>
      <c r="J22" s="50">
        <f>365*ocurrencias[[#This Row],[conteo]]/ocurrencias[[#Totals],[conteo]]</f>
        <v>3.6397310519556449</v>
      </c>
      <c r="K22" s="50">
        <v>0.99718658957688899</v>
      </c>
    </row>
    <row r="23" spans="1:11" x14ac:dyDescent="0.3">
      <c r="A23" t="s">
        <v>155</v>
      </c>
      <c r="B23" t="s">
        <v>166</v>
      </c>
      <c r="C23" t="s">
        <v>16</v>
      </c>
      <c r="D23" t="str">
        <f>VLOOKUP(ocurrencias[[#This Row],[Dir]],'Rosa 16'!$B$1:$G$17,4,FALSE)</f>
        <v>191,25° – 213,75°</v>
      </c>
      <c r="E23">
        <v>3907</v>
      </c>
      <c r="F23" s="50">
        <v>1.3973406705912399</v>
      </c>
      <c r="G23" s="50">
        <v>12.209541847965101</v>
      </c>
      <c r="H23" s="50">
        <v>207.19861786536899</v>
      </c>
      <c r="I23" s="51">
        <f>ocurrencias[[#This Row],[conteo]]/ocurrencias[[#Totals],[conteo]]</f>
        <v>9.7619844787694959E-3</v>
      </c>
      <c r="J23" s="50">
        <f>365*ocurrencias[[#This Row],[conteo]]/ocurrencias[[#Totals],[conteo]]</f>
        <v>3.5631243347508659</v>
      </c>
      <c r="K23" s="50">
        <v>0.97619844787694898</v>
      </c>
    </row>
    <row r="24" spans="1:11" x14ac:dyDescent="0.3">
      <c r="A24" t="s">
        <v>158</v>
      </c>
      <c r="B24" t="s">
        <v>165</v>
      </c>
      <c r="C24" t="s">
        <v>15</v>
      </c>
      <c r="D24" t="str">
        <f>VLOOKUP(ocurrencias[[#This Row],[Dir]],'Rosa 16'!$B$1:$G$17,4,FALSE)</f>
        <v>168,75° – 191,25°</v>
      </c>
      <c r="E24">
        <v>3719</v>
      </c>
      <c r="F24" s="50">
        <v>2.7196343102984599</v>
      </c>
      <c r="G24" s="50">
        <v>9.1429550954557595</v>
      </c>
      <c r="H24" s="50">
        <v>182.040064533476</v>
      </c>
      <c r="I24" s="51">
        <f>ocurrencias[[#This Row],[conteo]]/ocurrencias[[#Totals],[conteo]]</f>
        <v>9.2922498788184683E-3</v>
      </c>
      <c r="J24" s="50">
        <f>365*ocurrencias[[#This Row],[conteo]]/ocurrencias[[#Totals],[conteo]]</f>
        <v>3.3916712057687408</v>
      </c>
      <c r="K24" s="50">
        <v>0.92922498788184604</v>
      </c>
    </row>
    <row r="25" spans="1:11" x14ac:dyDescent="0.3">
      <c r="A25" t="s">
        <v>156</v>
      </c>
      <c r="B25" t="s">
        <v>165</v>
      </c>
      <c r="C25" t="s">
        <v>15</v>
      </c>
      <c r="D25" t="str">
        <f>VLOOKUP(ocurrencias[[#This Row],[Dir]],'Rosa 16'!$B$1:$G$17,4,FALSE)</f>
        <v>168,75° – 191,25°</v>
      </c>
      <c r="E25">
        <v>3445</v>
      </c>
      <c r="F25" s="50">
        <v>1.7912423802612401</v>
      </c>
      <c r="G25" s="50">
        <v>9.8434165457184299</v>
      </c>
      <c r="H25" s="50">
        <v>184.79854862119001</v>
      </c>
      <c r="I25" s="51">
        <f>ocurrencias[[#This Row],[conteo]]/ocurrencias[[#Totals],[conteo]]</f>
        <v>8.6076366852728212E-3</v>
      </c>
      <c r="J25" s="50">
        <f>365*ocurrencias[[#This Row],[conteo]]/ocurrencias[[#Totals],[conteo]]</f>
        <v>3.1417873901245796</v>
      </c>
      <c r="K25">
        <v>0.86076366852728203</v>
      </c>
    </row>
    <row r="26" spans="1:11" x14ac:dyDescent="0.3">
      <c r="A26" t="s">
        <v>156</v>
      </c>
      <c r="B26" t="s">
        <v>168</v>
      </c>
      <c r="C26" t="s">
        <v>20</v>
      </c>
      <c r="D26" t="str">
        <f>VLOOKUP(ocurrencias[[#This Row],[Dir]],'Rosa 16'!$B$1:$G$17,4,FALSE)</f>
        <v>281,25° – 303,75°</v>
      </c>
      <c r="E26">
        <v>3240</v>
      </c>
      <c r="F26" s="50">
        <v>1.7656141975308599</v>
      </c>
      <c r="G26" s="50">
        <v>18.019114197530801</v>
      </c>
      <c r="H26" s="50">
        <v>298.436419753086</v>
      </c>
      <c r="I26" s="51">
        <f>ocurrencias[[#This Row],[conteo]]/ocurrencias[[#Totals],[conteo]]</f>
        <v>8.0954260842623915E-3</v>
      </c>
      <c r="J26" s="50">
        <f>365*ocurrencias[[#This Row],[conteo]]/ocurrencias[[#Totals],[conteo]]</f>
        <v>2.954830520755773</v>
      </c>
      <c r="K26" s="50">
        <v>0.80954260842623904</v>
      </c>
    </row>
    <row r="27" spans="1:11" x14ac:dyDescent="0.3">
      <c r="A27" t="s">
        <v>156</v>
      </c>
      <c r="B27" t="s">
        <v>167</v>
      </c>
      <c r="C27" t="s">
        <v>19</v>
      </c>
      <c r="D27" t="str">
        <f>VLOOKUP(ocurrencias[[#This Row],[Dir]],'Rosa 16'!$B$1:$G$17,4,FALSE)</f>
        <v>258,75° – 281,25°</v>
      </c>
      <c r="E27">
        <v>2698</v>
      </c>
      <c r="F27" s="50">
        <v>1.7322831727205299</v>
      </c>
      <c r="G27" s="50">
        <v>15.2881245366938</v>
      </c>
      <c r="H27" s="50">
        <v>269.505930318754</v>
      </c>
      <c r="I27" s="51">
        <f>ocurrencias[[#This Row],[conteo]]/ocurrencias[[#Totals],[conteo]]</f>
        <v>6.741191226956769E-3</v>
      </c>
      <c r="J27" s="50">
        <f>365*ocurrencias[[#This Row],[conteo]]/ocurrencias[[#Totals],[conteo]]</f>
        <v>2.4605347978392209</v>
      </c>
      <c r="K27">
        <v>0.67411912269567698</v>
      </c>
    </row>
    <row r="28" spans="1:11" x14ac:dyDescent="0.3">
      <c r="A28" t="s">
        <v>159</v>
      </c>
      <c r="B28" t="s">
        <v>168</v>
      </c>
      <c r="C28" t="s">
        <v>16</v>
      </c>
      <c r="D28" t="str">
        <f>VLOOKUP(ocurrencias[[#This Row],[Dir]],'Rosa 16'!$B$1:$G$17,4,FALSE)</f>
        <v>191,25° – 213,75°</v>
      </c>
      <c r="E28">
        <v>2578</v>
      </c>
      <c r="F28" s="50">
        <v>3.21709852598913</v>
      </c>
      <c r="G28" s="50">
        <v>17.906353762606599</v>
      </c>
      <c r="H28" s="50">
        <v>206.416989914662</v>
      </c>
      <c r="I28" s="51">
        <f>ocurrencias[[#This Row],[conteo]]/ocurrencias[[#Totals],[conteo]]</f>
        <v>6.4413606312433477E-3</v>
      </c>
      <c r="J28" s="50">
        <f>365*ocurrencias[[#This Row],[conteo]]/ocurrencias[[#Totals],[conteo]]</f>
        <v>2.3510966304038217</v>
      </c>
      <c r="K28" s="50">
        <v>0.64413606312433402</v>
      </c>
    </row>
    <row r="29" spans="1:11" x14ac:dyDescent="0.3">
      <c r="A29" t="s">
        <v>156</v>
      </c>
      <c r="B29" t="s">
        <v>165</v>
      </c>
      <c r="C29" t="s">
        <v>16</v>
      </c>
      <c r="D29" t="str">
        <f>VLOOKUP(ocurrencias[[#This Row],[Dir]],'Rosa 16'!$B$1:$G$17,4,FALSE)</f>
        <v>191,25° – 213,75°</v>
      </c>
      <c r="E29">
        <v>2527</v>
      </c>
      <c r="F29" s="50">
        <v>1.69749505342303</v>
      </c>
      <c r="G29">
        <v>10.660079145231499</v>
      </c>
      <c r="H29" s="50">
        <v>200.62960031658</v>
      </c>
      <c r="I29" s="51">
        <f>ocurrencias[[#This Row],[conteo]]/ocurrencias[[#Totals],[conteo]]</f>
        <v>6.3139326280651428E-3</v>
      </c>
      <c r="J29" s="50">
        <f>365*ocurrencias[[#This Row],[conteo]]/ocurrencias[[#Totals],[conteo]]</f>
        <v>2.3045854092437774</v>
      </c>
      <c r="K29" s="50">
        <v>0.63139326280651398</v>
      </c>
    </row>
    <row r="30" spans="1:11" x14ac:dyDescent="0.3">
      <c r="A30" t="s">
        <v>159</v>
      </c>
      <c r="B30" t="s">
        <v>167</v>
      </c>
      <c r="C30" t="s">
        <v>17</v>
      </c>
      <c r="D30" t="str">
        <f>VLOOKUP(ocurrencias[[#This Row],[Dir]],'Rosa 16'!$B$1:$G$17,4,FALSE)</f>
        <v>213,75° – 236,25°</v>
      </c>
      <c r="E30">
        <v>2228</v>
      </c>
      <c r="F30" s="50">
        <v>3.1779488330341099</v>
      </c>
      <c r="G30" s="50">
        <v>15.6093626570915</v>
      </c>
      <c r="H30" s="50">
        <v>218.551615798922</v>
      </c>
      <c r="I30" s="51">
        <f>ocurrencias[[#This Row],[conteo]]/ocurrencias[[#Totals],[conteo]]</f>
        <v>5.5668547270792002E-3</v>
      </c>
      <c r="J30" s="50">
        <f>365*ocurrencias[[#This Row],[conteo]]/ocurrencias[[#Totals],[conteo]]</f>
        <v>2.0319019753839083</v>
      </c>
      <c r="K30">
        <v>0.55668547270792001</v>
      </c>
    </row>
    <row r="31" spans="1:11" x14ac:dyDescent="0.3">
      <c r="A31" t="s">
        <v>155</v>
      </c>
      <c r="B31" t="s">
        <v>167</v>
      </c>
      <c r="C31" t="s">
        <v>17</v>
      </c>
      <c r="D31" t="str">
        <f>VLOOKUP(ocurrencias[[#This Row],[Dir]],'Rosa 16'!$B$1:$G$17,4,FALSE)</f>
        <v>213,75° – 236,25°</v>
      </c>
      <c r="E31">
        <v>1957</v>
      </c>
      <c r="F31" s="50">
        <v>1.39964230965763</v>
      </c>
      <c r="G31" s="50">
        <v>15.112498722534401</v>
      </c>
      <c r="H31" s="50">
        <v>223.22738886050001</v>
      </c>
      <c r="I31" s="51">
        <f>ocurrencias[[#This Row],[conteo]]/ocurrencias[[#Totals],[conteo]]</f>
        <v>4.8897372984263894E-3</v>
      </c>
      <c r="J31" s="50">
        <f>365*ocurrencias[[#This Row],[conteo]]/ocurrencias[[#Totals],[conteo]]</f>
        <v>1.784754113925632</v>
      </c>
      <c r="K31" s="50">
        <v>0.48897372984263798</v>
      </c>
    </row>
    <row r="32" spans="1:11" x14ac:dyDescent="0.3">
      <c r="A32" t="s">
        <v>156</v>
      </c>
      <c r="B32" t="s">
        <v>168</v>
      </c>
      <c r="C32" t="s">
        <v>16</v>
      </c>
      <c r="D32" t="str">
        <f>VLOOKUP(ocurrencias[[#This Row],[Dir]],'Rosa 16'!$B$1:$G$17,4,FALSE)</f>
        <v>191,25° – 213,75°</v>
      </c>
      <c r="E32">
        <v>1848</v>
      </c>
      <c r="F32" s="50">
        <v>1.8267478354978299</v>
      </c>
      <c r="G32" s="50">
        <v>18.048652597402501</v>
      </c>
      <c r="H32">
        <v>207.64231601731601</v>
      </c>
      <c r="I32" s="51">
        <f>ocurrencias[[#This Row],[conteo]]/ocurrencias[[#Totals],[conteo]]</f>
        <v>4.6173911739866976E-3</v>
      </c>
      <c r="J32" s="50">
        <f>365*ocurrencias[[#This Row],[conteo]]/ocurrencias[[#Totals],[conteo]]</f>
        <v>1.6853477785051445</v>
      </c>
      <c r="K32" s="50">
        <v>0.46173911739866902</v>
      </c>
    </row>
    <row r="33" spans="1:11" x14ac:dyDescent="0.3">
      <c r="A33" t="s">
        <v>160</v>
      </c>
      <c r="B33" t="s">
        <v>167</v>
      </c>
      <c r="C33" t="s">
        <v>16</v>
      </c>
      <c r="D33" t="str">
        <f>VLOOKUP(ocurrencias[[#This Row],[Dir]],'Rosa 16'!$B$1:$G$17,4,FALSE)</f>
        <v>191,25° – 213,75°</v>
      </c>
      <c r="E33">
        <v>1760</v>
      </c>
      <c r="F33" s="50">
        <v>3.6877215909090899</v>
      </c>
      <c r="G33" s="50">
        <v>15.6655056818181</v>
      </c>
      <c r="H33">
        <v>205.56874999999999</v>
      </c>
      <c r="I33" s="51">
        <f>ocurrencias[[#This Row],[conteo]]/ocurrencias[[#Totals],[conteo]]</f>
        <v>4.3975154037968547E-3</v>
      </c>
      <c r="J33" s="50">
        <f>365*ocurrencias[[#This Row],[conteo]]/ocurrencias[[#Totals],[conteo]]</f>
        <v>1.605093122385852</v>
      </c>
      <c r="K33" s="50">
        <v>0.439751540379685</v>
      </c>
    </row>
    <row r="34" spans="1:11" x14ac:dyDescent="0.3">
      <c r="A34" t="s">
        <v>157</v>
      </c>
      <c r="B34" t="s">
        <v>167</v>
      </c>
      <c r="C34" t="s">
        <v>18</v>
      </c>
      <c r="D34" t="str">
        <f>VLOOKUP(ocurrencias[[#This Row],[Dir]],'Rosa 16'!$B$1:$G$17,4,FALSE)</f>
        <v>236,25° – 258,75°</v>
      </c>
      <c r="E34">
        <v>1686</v>
      </c>
      <c r="F34" s="50">
        <v>2.1430071174377199</v>
      </c>
      <c r="G34" s="50">
        <v>15.467989323843399</v>
      </c>
      <c r="H34" s="50">
        <v>244.21886120996399</v>
      </c>
      <c r="I34" s="51">
        <f>ocurrencias[[#This Row],[conteo]]/ocurrencias[[#Totals],[conteo]]</f>
        <v>4.2126198697735777E-3</v>
      </c>
      <c r="J34" s="50">
        <f>365*ocurrencias[[#This Row],[conteo]]/ocurrencias[[#Totals],[conteo]]</f>
        <v>1.5376062524673559</v>
      </c>
      <c r="K34" s="50">
        <v>0.42126198697735701</v>
      </c>
    </row>
    <row r="35" spans="1:11" x14ac:dyDescent="0.3">
      <c r="A35" t="s">
        <v>159</v>
      </c>
      <c r="B35" t="s">
        <v>165</v>
      </c>
      <c r="C35" t="s">
        <v>15</v>
      </c>
      <c r="D35" t="str">
        <f>VLOOKUP(ocurrencias[[#This Row],[Dir]],'Rosa 16'!$B$1:$G$17,4,FALSE)</f>
        <v>168,75° – 191,25°</v>
      </c>
      <c r="E35">
        <v>1570</v>
      </c>
      <c r="F35" s="50">
        <v>3.2122101910828</v>
      </c>
      <c r="G35" s="50">
        <v>9.34895541401273</v>
      </c>
      <c r="H35" s="50">
        <v>181.72547770700601</v>
      </c>
      <c r="I35" s="51">
        <f>ocurrencias[[#This Row],[conteo]]/ocurrencias[[#Totals],[conteo]]</f>
        <v>3.922783627250603E-3</v>
      </c>
      <c r="J35" s="50">
        <f>365*ocurrencias[[#This Row],[conteo]]/ocurrencias[[#Totals],[conteo]]</f>
        <v>1.4318160239464703</v>
      </c>
      <c r="K35" s="50">
        <v>0.39227836272506</v>
      </c>
    </row>
    <row r="36" spans="1:11" x14ac:dyDescent="0.3">
      <c r="A36" t="s">
        <v>156</v>
      </c>
      <c r="B36" t="s">
        <v>168</v>
      </c>
      <c r="C36" t="s">
        <v>74</v>
      </c>
      <c r="D36" t="str">
        <f>VLOOKUP(ocurrencias[[#This Row],[Dir]],'Rosa 16'!$B$1:$G$17,4,FALSE)</f>
        <v>303,75° – 326,25°</v>
      </c>
      <c r="E36">
        <v>1547</v>
      </c>
      <c r="F36" s="50">
        <v>1.7640012928248201</v>
      </c>
      <c r="G36" s="50">
        <v>18.4425210084033</v>
      </c>
      <c r="H36" s="50">
        <v>304.33225597931403</v>
      </c>
      <c r="I36" s="51">
        <f>ocurrencias[[#This Row],[conteo]]/ocurrencias[[#Totals],[conteo]]</f>
        <v>3.8653160964055308E-3</v>
      </c>
      <c r="J36" s="50">
        <f>365*ocurrencias[[#This Row],[conteo]]/ocurrencias[[#Totals],[conteo]]</f>
        <v>1.4108403751880187</v>
      </c>
      <c r="K36" s="50">
        <v>0.386531609640553</v>
      </c>
    </row>
    <row r="37" spans="1:11" x14ac:dyDescent="0.3">
      <c r="A37" t="s">
        <v>157</v>
      </c>
      <c r="B37" t="s">
        <v>168</v>
      </c>
      <c r="C37" t="s">
        <v>20</v>
      </c>
      <c r="D37" t="str">
        <f>VLOOKUP(ocurrencias[[#This Row],[Dir]],'Rosa 16'!$B$1:$G$17,4,FALSE)</f>
        <v>281,25° – 303,75°</v>
      </c>
      <c r="E37">
        <v>1492</v>
      </c>
      <c r="F37" s="50">
        <v>2.1439410187667498</v>
      </c>
      <c r="G37" s="50">
        <v>18.007359249329699</v>
      </c>
      <c r="H37" s="50">
        <v>296.842493297587</v>
      </c>
      <c r="I37" s="51">
        <f>ocurrencias[[#This Row],[conteo]]/ocurrencias[[#Totals],[conteo]]</f>
        <v>3.7278937400368794E-3</v>
      </c>
      <c r="J37" s="50">
        <f>365*ocurrencias[[#This Row],[conteo]]/ocurrencias[[#Totals],[conteo]]</f>
        <v>1.3606812151134609</v>
      </c>
      <c r="K37" s="50">
        <v>0.372789374003687</v>
      </c>
    </row>
    <row r="38" spans="1:11" x14ac:dyDescent="0.3">
      <c r="A38" t="s">
        <v>158</v>
      </c>
      <c r="B38" t="s">
        <v>166</v>
      </c>
      <c r="C38" t="s">
        <v>17</v>
      </c>
      <c r="D38" t="str">
        <f>VLOOKUP(ocurrencias[[#This Row],[Dir]],'Rosa 16'!$B$1:$G$17,4,FALSE)</f>
        <v>213,75° – 236,25°</v>
      </c>
      <c r="E38">
        <v>1391</v>
      </c>
      <c r="F38" s="50">
        <v>2.6491876347951102</v>
      </c>
      <c r="G38" s="50">
        <v>13.3023795830337</v>
      </c>
      <c r="H38" s="50">
        <v>218.45363048166701</v>
      </c>
      <c r="I38" s="51">
        <f>ocurrencias[[#This Row],[conteo]]/ocurrencias[[#Totals],[conteo]]</f>
        <v>3.4755363219780822E-3</v>
      </c>
      <c r="J38" s="50">
        <f>365*ocurrencias[[#This Row],[conteo]]/ocurrencias[[#Totals],[conteo]]</f>
        <v>1.268570757522</v>
      </c>
      <c r="K38" s="50">
        <v>0.34755363219780799</v>
      </c>
    </row>
    <row r="39" spans="1:11" x14ac:dyDescent="0.3">
      <c r="A39" t="s">
        <v>159</v>
      </c>
      <c r="B39" t="s">
        <v>168</v>
      </c>
      <c r="C39" t="s">
        <v>17</v>
      </c>
      <c r="D39" t="str">
        <f>VLOOKUP(ocurrencias[[#This Row],[Dir]],'Rosa 16'!$B$1:$G$17,4,FALSE)</f>
        <v>213,75° – 236,25°</v>
      </c>
      <c r="E39">
        <v>1375</v>
      </c>
      <c r="F39" s="50">
        <v>3.1931999999999898</v>
      </c>
      <c r="G39" s="50">
        <v>17.950327272727201</v>
      </c>
      <c r="H39" s="50">
        <v>218.20436363636301</v>
      </c>
      <c r="I39" s="51">
        <f>ocurrencias[[#This Row],[conteo]]/ocurrencias[[#Totals],[conteo]]</f>
        <v>3.435558909216293E-3</v>
      </c>
      <c r="J39" s="50">
        <f>365*ocurrencias[[#This Row],[conteo]]/ocurrencias[[#Totals],[conteo]]</f>
        <v>1.253979001863947</v>
      </c>
      <c r="K39" s="50">
        <v>0.34355589092162903</v>
      </c>
    </row>
    <row r="40" spans="1:11" x14ac:dyDescent="0.3">
      <c r="A40" t="s">
        <v>155</v>
      </c>
      <c r="B40" t="s">
        <v>165</v>
      </c>
      <c r="C40" t="s">
        <v>16</v>
      </c>
      <c r="D40" t="str">
        <f>VLOOKUP(ocurrencias[[#This Row],[Dir]],'Rosa 16'!$B$1:$G$17,4,FALSE)</f>
        <v>191,25° – 213,75°</v>
      </c>
      <c r="E40">
        <v>1300</v>
      </c>
      <c r="F40" s="50">
        <v>1.3716769230769199</v>
      </c>
      <c r="G40" s="50">
        <v>10.5596923076923</v>
      </c>
      <c r="H40" s="50">
        <v>203.396153846153</v>
      </c>
      <c r="I40" s="51">
        <f>ocurrencias[[#This Row],[conteo]]/ocurrencias[[#Totals],[conteo]]</f>
        <v>3.2481647868954043E-3</v>
      </c>
      <c r="J40" s="50">
        <f>365*ocurrencias[[#This Row],[conteo]]/ocurrencias[[#Totals],[conteo]]</f>
        <v>1.1855801472168226</v>
      </c>
      <c r="K40" s="50">
        <v>0.32481647868954</v>
      </c>
    </row>
    <row r="41" spans="1:11" x14ac:dyDescent="0.3">
      <c r="A41" t="s">
        <v>155</v>
      </c>
      <c r="B41" t="s">
        <v>167</v>
      </c>
      <c r="C41" t="s">
        <v>20</v>
      </c>
      <c r="D41" t="str">
        <f>VLOOKUP(ocurrencias[[#This Row],[Dir]],'Rosa 16'!$B$1:$G$17,4,FALSE)</f>
        <v>281,25° – 303,75°</v>
      </c>
      <c r="E41">
        <v>1270</v>
      </c>
      <c r="F41" s="50">
        <v>1.3744173228346399</v>
      </c>
      <c r="G41" s="50">
        <v>15.3621811023622</v>
      </c>
      <c r="H41" s="50">
        <v>294.04881889763698</v>
      </c>
      <c r="I41" s="51">
        <f>ocurrencias[[#This Row],[conteo]]/ocurrencias[[#Totals],[conteo]]</f>
        <v>3.1732071379670487E-3</v>
      </c>
      <c r="J41" s="50">
        <f>365*ocurrencias[[#This Row],[conteo]]/ocurrencias[[#Totals],[conteo]]</f>
        <v>1.1582206053579727</v>
      </c>
      <c r="K41" s="50">
        <v>0.31732071379670401</v>
      </c>
    </row>
    <row r="42" spans="1:11" x14ac:dyDescent="0.3">
      <c r="A42" t="s">
        <v>160</v>
      </c>
      <c r="B42" t="s">
        <v>168</v>
      </c>
      <c r="C42" t="s">
        <v>16</v>
      </c>
      <c r="D42" t="str">
        <f>VLOOKUP(ocurrencias[[#This Row],[Dir]],'Rosa 16'!$B$1:$G$17,4,FALSE)</f>
        <v>191,25° – 213,75°</v>
      </c>
      <c r="E42">
        <v>1250</v>
      </c>
      <c r="F42">
        <v>3.6921279999999999</v>
      </c>
      <c r="G42">
        <v>17.895088000000001</v>
      </c>
      <c r="H42">
        <v>207.1944</v>
      </c>
      <c r="I42" s="51">
        <f>ocurrencias[[#This Row],[conteo]]/ocurrencias[[#Totals],[conteo]]</f>
        <v>3.1232353720148116E-3</v>
      </c>
      <c r="J42" s="50">
        <f>365*ocurrencias[[#This Row],[conteo]]/ocurrencias[[#Totals],[conteo]]</f>
        <v>1.1399809107854062</v>
      </c>
      <c r="K42" s="50">
        <v>0.31232353720148098</v>
      </c>
    </row>
    <row r="43" spans="1:11" x14ac:dyDescent="0.3">
      <c r="A43" t="s">
        <v>156</v>
      </c>
      <c r="B43" t="s">
        <v>166</v>
      </c>
      <c r="C43" t="s">
        <v>18</v>
      </c>
      <c r="D43" t="str">
        <f>VLOOKUP(ocurrencias[[#This Row],[Dir]],'Rosa 16'!$B$1:$G$17,4,FALSE)</f>
        <v>236,25° – 258,75°</v>
      </c>
      <c r="E43">
        <v>1018</v>
      </c>
      <c r="F43" s="50">
        <v>1.69288801571709</v>
      </c>
      <c r="G43" s="50">
        <v>13.313909626718999</v>
      </c>
      <c r="H43" s="50">
        <v>242.099214145383</v>
      </c>
      <c r="I43" s="51">
        <f>ocurrencias[[#This Row],[conteo]]/ocurrencias[[#Totals],[conteo]]</f>
        <v>2.5435628869688626E-3</v>
      </c>
      <c r="J43" s="50">
        <f>365*ocurrencias[[#This Row],[conteo]]/ocurrencias[[#Totals],[conteo]]</f>
        <v>0.92840045374363489</v>
      </c>
      <c r="K43" s="50">
        <v>0.25435628869688598</v>
      </c>
    </row>
    <row r="44" spans="1:11" x14ac:dyDescent="0.3">
      <c r="A44" t="s">
        <v>157</v>
      </c>
      <c r="B44" t="s">
        <v>164</v>
      </c>
      <c r="C44" t="s">
        <v>15</v>
      </c>
      <c r="D44" t="str">
        <f>VLOOKUP(ocurrencias[[#This Row],[Dir]],'Rosa 16'!$B$1:$G$17,4,FALSE)</f>
        <v>168,75° – 191,25°</v>
      </c>
      <c r="E44">
        <v>938</v>
      </c>
      <c r="F44">
        <v>2.2277292110874201</v>
      </c>
      <c r="G44" s="50">
        <v>7.5193283582089503</v>
      </c>
      <c r="H44" s="50">
        <v>178.59381663113001</v>
      </c>
      <c r="I44" s="51">
        <f>ocurrencias[[#This Row],[conteo]]/ocurrencias[[#Totals],[conteo]]</f>
        <v>2.3436758231599147E-3</v>
      </c>
      <c r="J44" s="50">
        <f>365*ocurrencias[[#This Row],[conteo]]/ocurrencias[[#Totals],[conteo]]</f>
        <v>0.8554416754533688</v>
      </c>
      <c r="K44" s="50">
        <v>0.234367582315991</v>
      </c>
    </row>
    <row r="45" spans="1:11" x14ac:dyDescent="0.3">
      <c r="A45" t="s">
        <v>159</v>
      </c>
      <c r="B45" t="s">
        <v>166</v>
      </c>
      <c r="C45" t="s">
        <v>16</v>
      </c>
      <c r="D45" t="str">
        <f>VLOOKUP(ocurrencias[[#This Row],[Dir]],'Rosa 16'!$B$1:$G$17,4,FALSE)</f>
        <v>191,25° – 213,75°</v>
      </c>
      <c r="E45">
        <v>871</v>
      </c>
      <c r="F45" s="50">
        <v>3.16610792192881</v>
      </c>
      <c r="G45" s="50">
        <v>13.148737083811699</v>
      </c>
      <c r="H45" s="50">
        <v>201.62456946039001</v>
      </c>
      <c r="I45" s="51">
        <f>ocurrencias[[#This Row],[conteo]]/ocurrencias[[#Totals],[conteo]]</f>
        <v>2.1762704072199207E-3</v>
      </c>
      <c r="J45" s="50">
        <f>365*ocurrencias[[#This Row],[conteo]]/ocurrencias[[#Totals],[conteo]]</f>
        <v>0.79433869863527107</v>
      </c>
      <c r="K45" s="50">
        <v>0.21762704072199199</v>
      </c>
    </row>
    <row r="46" spans="1:11" x14ac:dyDescent="0.3">
      <c r="A46" t="s">
        <v>157</v>
      </c>
      <c r="B46" t="s">
        <v>166</v>
      </c>
      <c r="C46" t="s">
        <v>15</v>
      </c>
      <c r="D46" t="str">
        <f>VLOOKUP(ocurrencias[[#This Row],[Dir]],'Rosa 16'!$B$1:$G$17,4,FALSE)</f>
        <v>168,75° – 191,25°</v>
      </c>
      <c r="E46">
        <v>812</v>
      </c>
      <c r="F46" s="50">
        <v>2.23033251231527</v>
      </c>
      <c r="G46" s="50">
        <v>12.0664778325123</v>
      </c>
      <c r="H46" s="50">
        <v>188.294334975369</v>
      </c>
      <c r="I46" s="51">
        <f>ocurrencias[[#This Row],[conteo]]/ocurrencias[[#Totals],[conteo]]</f>
        <v>2.0288536976608216E-3</v>
      </c>
      <c r="J46" s="50">
        <f>365*ocurrencias[[#This Row],[conteo]]/ocurrencias[[#Totals],[conteo]]</f>
        <v>0.74053159964619986</v>
      </c>
      <c r="K46" s="50">
        <v>0.20288536976608201</v>
      </c>
    </row>
    <row r="47" spans="1:11" x14ac:dyDescent="0.3">
      <c r="A47" t="s">
        <v>156</v>
      </c>
      <c r="B47" t="s">
        <v>166</v>
      </c>
      <c r="C47" t="s">
        <v>15</v>
      </c>
      <c r="D47" t="str">
        <f>VLOOKUP(ocurrencias[[#This Row],[Dir]],'Rosa 16'!$B$1:$G$17,4,FALSE)</f>
        <v>168,75° – 191,25°</v>
      </c>
      <c r="E47">
        <v>704</v>
      </c>
      <c r="F47" s="50">
        <v>1.8165340909090899</v>
      </c>
      <c r="G47" s="50">
        <v>11.669303977272699</v>
      </c>
      <c r="H47" s="50">
        <v>188.61079545454501</v>
      </c>
      <c r="I47" s="51">
        <f>ocurrencias[[#This Row],[conteo]]/ocurrencias[[#Totals],[conteo]]</f>
        <v>1.759006161518742E-3</v>
      </c>
      <c r="J47" s="50">
        <f>365*ocurrencias[[#This Row],[conteo]]/ocurrencias[[#Totals],[conteo]]</f>
        <v>0.64203724895434078</v>
      </c>
      <c r="K47" s="50">
        <v>0.175900616151874</v>
      </c>
    </row>
    <row r="48" spans="1:11" x14ac:dyDescent="0.3">
      <c r="A48" t="s">
        <v>157</v>
      </c>
      <c r="B48" t="s">
        <v>169</v>
      </c>
      <c r="C48" t="s">
        <v>17</v>
      </c>
      <c r="D48" t="str">
        <f>VLOOKUP(ocurrencias[[#This Row],[Dir]],'Rosa 16'!$B$1:$G$17,4,FALSE)</f>
        <v>213,75° – 236,25°</v>
      </c>
      <c r="E48">
        <v>668</v>
      </c>
      <c r="F48" s="50">
        <v>2.2197455089820299</v>
      </c>
      <c r="G48" s="50">
        <v>21.022514970059799</v>
      </c>
      <c r="H48" s="50">
        <v>219.14970059880201</v>
      </c>
      <c r="I48" s="51">
        <f>ocurrencias[[#This Row],[conteo]]/ocurrencias[[#Totals],[conteo]]</f>
        <v>1.6690569828047154E-3</v>
      </c>
      <c r="J48" s="50">
        <f>365*ocurrencias[[#This Row],[conteo]]/ocurrencias[[#Totals],[conteo]]</f>
        <v>0.60920579872372105</v>
      </c>
      <c r="K48" s="50">
        <v>0.166905698280471</v>
      </c>
    </row>
    <row r="49" spans="1:11" x14ac:dyDescent="0.3">
      <c r="A49" t="s">
        <v>157</v>
      </c>
      <c r="B49" t="s">
        <v>165</v>
      </c>
      <c r="C49" t="s">
        <v>16</v>
      </c>
      <c r="D49" t="str">
        <f>VLOOKUP(ocurrencias[[#This Row],[Dir]],'Rosa 16'!$B$1:$G$17,4,FALSE)</f>
        <v>191,25° – 213,75°</v>
      </c>
      <c r="E49">
        <v>656</v>
      </c>
      <c r="F49" s="50">
        <v>2.19685975609756</v>
      </c>
      <c r="G49" s="50">
        <v>10.530411585365799</v>
      </c>
      <c r="H49" s="50">
        <v>198.31554878048701</v>
      </c>
      <c r="I49" s="51">
        <f>ocurrencias[[#This Row],[conteo]]/ocurrencias[[#Totals],[conteo]]</f>
        <v>1.6390739232333732E-3</v>
      </c>
      <c r="J49" s="50">
        <f>365*ocurrencias[[#This Row],[conteo]]/ocurrencias[[#Totals],[conteo]]</f>
        <v>0.59826198198018121</v>
      </c>
      <c r="K49" s="50">
        <v>0.16390739232333701</v>
      </c>
    </row>
    <row r="50" spans="1:11" x14ac:dyDescent="0.3">
      <c r="A50" t="s">
        <v>155</v>
      </c>
      <c r="B50" t="s">
        <v>167</v>
      </c>
      <c r="C50" t="s">
        <v>16</v>
      </c>
      <c r="D50" t="str">
        <f>VLOOKUP(ocurrencias[[#This Row],[Dir]],'Rosa 16'!$B$1:$G$17,4,FALSE)</f>
        <v>191,25° – 213,75°</v>
      </c>
      <c r="E50">
        <v>623</v>
      </c>
      <c r="F50" s="50">
        <v>1.41393258426966</v>
      </c>
      <c r="G50" s="50">
        <v>14.980609951845899</v>
      </c>
      <c r="H50" s="50">
        <v>206.93418940609899</v>
      </c>
      <c r="I50" s="51">
        <f>ocurrencias[[#This Row],[conteo]]/ocurrencias[[#Totals],[conteo]]</f>
        <v>1.556620509412182E-3</v>
      </c>
      <c r="J50" s="50">
        <f>365*ocurrencias[[#This Row],[conteo]]/ocurrencias[[#Totals],[conteo]]</f>
        <v>0.5681664859354465</v>
      </c>
      <c r="K50" s="50">
        <v>0.15566205094121799</v>
      </c>
    </row>
    <row r="51" spans="1:11" x14ac:dyDescent="0.3">
      <c r="A51" t="s">
        <v>155</v>
      </c>
      <c r="B51" t="s">
        <v>167</v>
      </c>
      <c r="C51" t="s">
        <v>18</v>
      </c>
      <c r="D51" t="str">
        <f>VLOOKUP(ocurrencias[[#This Row],[Dir]],'Rosa 16'!$B$1:$G$17,4,FALSE)</f>
        <v>236,25° – 258,75°</v>
      </c>
      <c r="E51">
        <v>618</v>
      </c>
      <c r="F51" s="50">
        <v>1.39839805825242</v>
      </c>
      <c r="G51" s="50">
        <v>14.9042718446601</v>
      </c>
      <c r="H51" s="50">
        <v>245.52912621359201</v>
      </c>
      <c r="I51" s="51">
        <f>ocurrencias[[#This Row],[conteo]]/ocurrencias[[#Totals],[conteo]]</f>
        <v>1.5441275679241228E-3</v>
      </c>
      <c r="J51" s="50">
        <f>365*ocurrencias[[#This Row],[conteo]]/ocurrencias[[#Totals],[conteo]]</f>
        <v>0.56360656229230488</v>
      </c>
      <c r="K51" s="50">
        <v>0.15441275679241201</v>
      </c>
    </row>
    <row r="52" spans="1:11" x14ac:dyDescent="0.3">
      <c r="A52" t="s">
        <v>160</v>
      </c>
      <c r="B52" t="s">
        <v>165</v>
      </c>
      <c r="C52" t="s">
        <v>15</v>
      </c>
      <c r="D52" t="str">
        <f>VLOOKUP(ocurrencias[[#This Row],[Dir]],'Rosa 16'!$B$1:$G$17,4,FALSE)</f>
        <v>168,75° – 191,25°</v>
      </c>
      <c r="E52">
        <v>614</v>
      </c>
      <c r="F52" s="50">
        <v>3.6845276872964101</v>
      </c>
      <c r="G52" s="50">
        <v>9.7522149837133494</v>
      </c>
      <c r="H52" s="50">
        <v>181.34364820846901</v>
      </c>
      <c r="I52" s="51">
        <f>ocurrencias[[#This Row],[conteo]]/ocurrencias[[#Totals],[conteo]]</f>
        <v>1.5341332147336755E-3</v>
      </c>
      <c r="J52" s="50">
        <f>365*ocurrencias[[#This Row],[conteo]]/ocurrencias[[#Totals],[conteo]]</f>
        <v>0.55995862337779156</v>
      </c>
      <c r="K52" s="50">
        <v>0.153413321473367</v>
      </c>
    </row>
    <row r="53" spans="1:11" x14ac:dyDescent="0.3">
      <c r="A53" t="s">
        <v>155</v>
      </c>
      <c r="B53" t="s">
        <v>166</v>
      </c>
      <c r="C53" t="s">
        <v>18</v>
      </c>
      <c r="D53" t="str">
        <f>VLOOKUP(ocurrencias[[#This Row],[Dir]],'Rosa 16'!$B$1:$G$17,4,FALSE)</f>
        <v>236,25° – 258,75°</v>
      </c>
      <c r="E53">
        <v>604</v>
      </c>
      <c r="F53" s="50">
        <v>1.3453476821192001</v>
      </c>
      <c r="G53" s="50">
        <v>12.994933774834401</v>
      </c>
      <c r="H53" s="50">
        <v>243.216887417218</v>
      </c>
      <c r="I53" s="51">
        <f>ocurrencias[[#This Row],[conteo]]/ocurrencias[[#Totals],[conteo]]</f>
        <v>1.5091473317575569E-3</v>
      </c>
      <c r="J53" s="50">
        <f>365*ocurrencias[[#This Row],[conteo]]/ocurrencias[[#Totals],[conteo]]</f>
        <v>0.55083877609150833</v>
      </c>
      <c r="K53" s="50">
        <v>0.15091473317575499</v>
      </c>
    </row>
    <row r="54" spans="1:11" x14ac:dyDescent="0.3">
      <c r="A54" t="s">
        <v>155</v>
      </c>
      <c r="B54" t="s">
        <v>167</v>
      </c>
      <c r="C54" t="s">
        <v>19</v>
      </c>
      <c r="D54" t="str">
        <f>VLOOKUP(ocurrencias[[#This Row],[Dir]],'Rosa 16'!$B$1:$G$17,4,FALSE)</f>
        <v>258,75° – 281,25°</v>
      </c>
      <c r="E54">
        <v>597</v>
      </c>
      <c r="F54" s="50">
        <v>1.3692964824120599</v>
      </c>
      <c r="G54" s="50">
        <v>14.9126968174204</v>
      </c>
      <c r="H54" s="50">
        <v>270.46566164154098</v>
      </c>
      <c r="I54" s="51">
        <f>ocurrencias[[#This Row],[conteo]]/ocurrencias[[#Totals],[conteo]]</f>
        <v>1.491657213674274E-3</v>
      </c>
      <c r="J54" s="50">
        <f>365*ocurrencias[[#This Row],[conteo]]/ocurrencias[[#Totals],[conteo]]</f>
        <v>0.54445488299111</v>
      </c>
      <c r="K54" s="50">
        <v>0.14916572136742701</v>
      </c>
    </row>
    <row r="55" spans="1:11" x14ac:dyDescent="0.3">
      <c r="A55" t="s">
        <v>157</v>
      </c>
      <c r="B55" t="s">
        <v>167</v>
      </c>
      <c r="C55" t="s">
        <v>15</v>
      </c>
      <c r="D55" t="str">
        <f>VLOOKUP(ocurrencias[[#This Row],[Dir]],'Rosa 16'!$B$1:$G$17,4,FALSE)</f>
        <v>168,75° – 191,25°</v>
      </c>
      <c r="E55">
        <v>596</v>
      </c>
      <c r="F55" s="50">
        <v>2.23085570469798</v>
      </c>
      <c r="G55" s="50">
        <v>15.113775167785199</v>
      </c>
      <c r="H55" s="50">
        <v>189.610738255033</v>
      </c>
      <c r="I55" s="51">
        <f>ocurrencias[[#This Row],[conteo]]/ocurrencias[[#Totals],[conteo]]</f>
        <v>1.4891586253766621E-3</v>
      </c>
      <c r="J55" s="50">
        <f>365*ocurrencias[[#This Row],[conteo]]/ocurrencias[[#Totals],[conteo]]</f>
        <v>0.5435428982624817</v>
      </c>
      <c r="K55" s="50">
        <v>0.14891586253766601</v>
      </c>
    </row>
    <row r="56" spans="1:11" x14ac:dyDescent="0.3">
      <c r="A56" t="s">
        <v>155</v>
      </c>
      <c r="B56" t="s">
        <v>168</v>
      </c>
      <c r="C56" t="s">
        <v>20</v>
      </c>
      <c r="D56" t="str">
        <f>VLOOKUP(ocurrencias[[#This Row],[Dir]],'Rosa 16'!$B$1:$G$17,4,FALSE)</f>
        <v>281,25° – 303,75°</v>
      </c>
      <c r="E56">
        <v>589</v>
      </c>
      <c r="F56" s="50">
        <v>1.3762139219015199</v>
      </c>
      <c r="G56" s="50">
        <v>18.107113752122199</v>
      </c>
      <c r="H56" s="50">
        <v>299.13752122240999</v>
      </c>
      <c r="I56" s="51">
        <f>ocurrencias[[#This Row],[conteo]]/ocurrencias[[#Totals],[conteo]]</f>
        <v>1.4716685072933792E-3</v>
      </c>
      <c r="J56" s="50">
        <f>365*ocurrencias[[#This Row],[conteo]]/ocurrencias[[#Totals],[conteo]]</f>
        <v>0.53715900516208337</v>
      </c>
      <c r="K56" s="50">
        <v>0.147166850729337</v>
      </c>
    </row>
    <row r="57" spans="1:11" x14ac:dyDescent="0.3">
      <c r="A57" t="s">
        <v>157</v>
      </c>
      <c r="B57" t="s">
        <v>167</v>
      </c>
      <c r="C57" t="s">
        <v>19</v>
      </c>
      <c r="D57" t="str">
        <f>VLOOKUP(ocurrencias[[#This Row],[Dir]],'Rosa 16'!$B$1:$G$17,4,FALSE)</f>
        <v>258,75° – 281,25°</v>
      </c>
      <c r="E57">
        <v>567</v>
      </c>
      <c r="F57" s="50">
        <v>2.1507054673721302</v>
      </c>
      <c r="G57" s="50">
        <v>15.8366843033509</v>
      </c>
      <c r="H57">
        <v>268.00529100529099</v>
      </c>
      <c r="I57" s="51">
        <f>ocurrencias[[#This Row],[conteo]]/ocurrencias[[#Totals],[conteo]]</f>
        <v>1.4166995647459186E-3</v>
      </c>
      <c r="J57" s="50">
        <f>365*ocurrencias[[#This Row],[conteo]]/ocurrencias[[#Totals],[conteo]]</f>
        <v>0.5170953411322603</v>
      </c>
      <c r="K57" s="50">
        <v>0.14166995647459099</v>
      </c>
    </row>
    <row r="58" spans="1:11" x14ac:dyDescent="0.3">
      <c r="A58" t="s">
        <v>156</v>
      </c>
      <c r="B58" t="s">
        <v>168</v>
      </c>
      <c r="C58" t="s">
        <v>19</v>
      </c>
      <c r="D58" t="str">
        <f>VLOOKUP(ocurrencias[[#This Row],[Dir]],'Rosa 16'!$B$1:$G$17,4,FALSE)</f>
        <v>258,75° – 281,25°</v>
      </c>
      <c r="E58">
        <v>546</v>
      </c>
      <c r="F58">
        <v>1.8000732600732601</v>
      </c>
      <c r="G58" s="50">
        <v>17.8800732600732</v>
      </c>
      <c r="H58" s="50">
        <v>271.08058608058599</v>
      </c>
      <c r="I58" s="51">
        <f>ocurrencias[[#This Row],[conteo]]/ocurrencias[[#Totals],[conteo]]</f>
        <v>1.3642292104960698E-3</v>
      </c>
      <c r="J58" s="50">
        <f>365*ocurrencias[[#This Row],[conteo]]/ocurrencias[[#Totals],[conteo]]</f>
        <v>0.49794366183106542</v>
      </c>
      <c r="K58" s="50">
        <v>0.13642292104960599</v>
      </c>
    </row>
    <row r="59" spans="1:11" x14ac:dyDescent="0.3">
      <c r="A59" t="s">
        <v>156</v>
      </c>
      <c r="B59" t="s">
        <v>168</v>
      </c>
      <c r="C59" t="s">
        <v>18</v>
      </c>
      <c r="D59" t="str">
        <f>VLOOKUP(ocurrencias[[#This Row],[Dir]],'Rosa 16'!$B$1:$G$17,4,FALSE)</f>
        <v>236,25° – 258,75°</v>
      </c>
      <c r="E59">
        <v>542</v>
      </c>
      <c r="F59" s="50">
        <v>1.79885608856088</v>
      </c>
      <c r="G59" s="50">
        <v>17.844963099630899</v>
      </c>
      <c r="H59" s="50">
        <v>246.25276752767499</v>
      </c>
      <c r="I59" s="51">
        <f>ocurrencias[[#This Row],[conteo]]/ocurrencias[[#Totals],[conteo]]</f>
        <v>1.3542348573056223E-3</v>
      </c>
      <c r="J59" s="50">
        <f>365*ocurrencias[[#This Row],[conteo]]/ocurrencias[[#Totals],[conteo]]</f>
        <v>0.49429572291655216</v>
      </c>
      <c r="K59" s="50">
        <v>0.13542348573056201</v>
      </c>
    </row>
    <row r="60" spans="1:11" x14ac:dyDescent="0.3">
      <c r="A60" t="s">
        <v>155</v>
      </c>
      <c r="B60" t="s">
        <v>165</v>
      </c>
      <c r="C60" t="s">
        <v>17</v>
      </c>
      <c r="D60" t="str">
        <f>VLOOKUP(ocurrencias[[#This Row],[Dir]],'Rosa 16'!$B$1:$G$17,4,FALSE)</f>
        <v>213,75° – 236,25°</v>
      </c>
      <c r="E60">
        <v>540</v>
      </c>
      <c r="F60" s="50">
        <v>1.32124074074074</v>
      </c>
      <c r="G60" s="50">
        <v>10.7995185185185</v>
      </c>
      <c r="H60" s="50">
        <v>219.557407407407</v>
      </c>
      <c r="I60" s="51">
        <f>ocurrencias[[#This Row],[conteo]]/ocurrencias[[#Totals],[conteo]]</f>
        <v>1.3492376807103987E-3</v>
      </c>
      <c r="J60" s="50">
        <f>365*ocurrencias[[#This Row],[conteo]]/ocurrencias[[#Totals],[conteo]]</f>
        <v>0.4924717534592955</v>
      </c>
      <c r="K60" s="50">
        <v>0.13492376807103901</v>
      </c>
    </row>
    <row r="61" spans="1:11" x14ac:dyDescent="0.3">
      <c r="A61" t="s">
        <v>157</v>
      </c>
      <c r="B61" t="s">
        <v>168</v>
      </c>
      <c r="C61" t="s">
        <v>74</v>
      </c>
      <c r="D61" t="str">
        <f>VLOOKUP(ocurrencias[[#This Row],[Dir]],'Rosa 16'!$B$1:$G$17,4,FALSE)</f>
        <v>303,75° – 326,25°</v>
      </c>
      <c r="E61">
        <v>534</v>
      </c>
      <c r="F61" s="50">
        <v>2.0952621722846398</v>
      </c>
      <c r="G61" s="50">
        <v>18.745655430711601</v>
      </c>
      <c r="H61" s="50">
        <v>304.17790262172201</v>
      </c>
      <c r="I61" s="51">
        <f>ocurrencias[[#This Row],[conteo]]/ocurrencias[[#Totals],[conteo]]</f>
        <v>1.3342461509247274E-3</v>
      </c>
      <c r="J61" s="50">
        <f>365*ocurrencias[[#This Row],[conteo]]/ocurrencias[[#Totals],[conteo]]</f>
        <v>0.48699984508752553</v>
      </c>
      <c r="K61" s="50">
        <v>0.133424615092472</v>
      </c>
    </row>
    <row r="62" spans="1:11" x14ac:dyDescent="0.3">
      <c r="A62" t="s">
        <v>157</v>
      </c>
      <c r="B62" t="s">
        <v>167</v>
      </c>
      <c r="C62" t="s">
        <v>20</v>
      </c>
      <c r="D62" t="str">
        <f>VLOOKUP(ocurrencias[[#This Row],[Dir]],'Rosa 16'!$B$1:$G$17,4,FALSE)</f>
        <v>281,25° – 303,75°</v>
      </c>
      <c r="E62">
        <v>497</v>
      </c>
      <c r="F62" s="50">
        <v>2.1050503018108602</v>
      </c>
      <c r="G62" s="50">
        <v>16.1348490945674</v>
      </c>
      <c r="H62" s="50">
        <v>293.45674044265502</v>
      </c>
      <c r="I62" s="51">
        <f>ocurrencias[[#This Row],[conteo]]/ocurrencias[[#Totals],[conteo]]</f>
        <v>1.2417983839130892E-3</v>
      </c>
      <c r="J62" s="50">
        <f>365*ocurrencias[[#This Row],[conteo]]/ocurrencias[[#Totals],[conteo]]</f>
        <v>0.4532564101282775</v>
      </c>
      <c r="K62" s="50">
        <v>0.124179838391308</v>
      </c>
    </row>
    <row r="63" spans="1:11" x14ac:dyDescent="0.3">
      <c r="A63" t="s">
        <v>156</v>
      </c>
      <c r="B63" t="s">
        <v>164</v>
      </c>
      <c r="C63" t="s">
        <v>15</v>
      </c>
      <c r="D63" t="str">
        <f>VLOOKUP(ocurrencias[[#This Row],[Dir]],'Rosa 16'!$B$1:$G$17,4,FALSE)</f>
        <v>168,75° – 191,25°</v>
      </c>
      <c r="E63">
        <v>472</v>
      </c>
      <c r="F63" s="50">
        <v>1.83165254237288</v>
      </c>
      <c r="G63" s="50">
        <v>7.3197457627118601</v>
      </c>
      <c r="H63" s="50">
        <v>180.03813559322001</v>
      </c>
      <c r="I63" s="51">
        <f>ocurrencias[[#This Row],[conteo]]/ocurrencias[[#Totals],[conteo]]</f>
        <v>1.1793336764727928E-3</v>
      </c>
      <c r="J63" s="50">
        <f>365*ocurrencias[[#This Row],[conteo]]/ocurrencias[[#Totals],[conteo]]</f>
        <v>0.43045679191256941</v>
      </c>
      <c r="K63" s="50">
        <v>0.11793336764727901</v>
      </c>
    </row>
    <row r="64" spans="1:11" x14ac:dyDescent="0.3">
      <c r="A64" t="s">
        <v>158</v>
      </c>
      <c r="B64" t="s">
        <v>166</v>
      </c>
      <c r="C64" t="s">
        <v>15</v>
      </c>
      <c r="D64" t="str">
        <f>VLOOKUP(ocurrencias[[#This Row],[Dir]],'Rosa 16'!$B$1:$G$17,4,FALSE)</f>
        <v>168,75° – 191,25°</v>
      </c>
      <c r="E64">
        <v>435</v>
      </c>
      <c r="F64" s="50">
        <v>2.7231264367815999</v>
      </c>
      <c r="G64" s="50">
        <v>12.088505747126399</v>
      </c>
      <c r="H64" s="50">
        <v>187.48045977011401</v>
      </c>
      <c r="I64" s="51">
        <f>ocurrencias[[#This Row],[conteo]]/ocurrencias[[#Totals],[conteo]]</f>
        <v>1.0868859094611545E-3</v>
      </c>
      <c r="J64" s="50">
        <f>365*ocurrencias[[#This Row],[conteo]]/ocurrencias[[#Totals],[conteo]]</f>
        <v>0.39671335695332138</v>
      </c>
      <c r="K64" s="50">
        <v>0.10868859094611499</v>
      </c>
    </row>
    <row r="65" spans="1:11" x14ac:dyDescent="0.3">
      <c r="A65" t="s">
        <v>155</v>
      </c>
      <c r="B65" t="s">
        <v>168</v>
      </c>
      <c r="C65" t="s">
        <v>17</v>
      </c>
      <c r="D65" t="str">
        <f>VLOOKUP(ocurrencias[[#This Row],[Dir]],'Rosa 16'!$B$1:$G$17,4,FALSE)</f>
        <v>213,75° – 236,25°</v>
      </c>
      <c r="E65">
        <v>416</v>
      </c>
      <c r="F65" s="50">
        <v>1.38283653846153</v>
      </c>
      <c r="G65" s="50">
        <v>17.943341346153801</v>
      </c>
      <c r="H65" s="50">
        <v>222.02163461538399</v>
      </c>
      <c r="I65" s="51">
        <f>ocurrencias[[#This Row],[conteo]]/ocurrencias[[#Totals],[conteo]]</f>
        <v>1.0394127318065294E-3</v>
      </c>
      <c r="J65" s="50">
        <f>365*ocurrencias[[#This Row],[conteo]]/ocurrencias[[#Totals],[conteo]]</f>
        <v>0.37938564710938322</v>
      </c>
      <c r="K65" s="50">
        <v>0.10394127318065199</v>
      </c>
    </row>
    <row r="66" spans="1:11" x14ac:dyDescent="0.3">
      <c r="A66" t="s">
        <v>160</v>
      </c>
      <c r="B66" t="s">
        <v>167</v>
      </c>
      <c r="C66" t="s">
        <v>17</v>
      </c>
      <c r="D66" t="str">
        <f>VLOOKUP(ocurrencias[[#This Row],[Dir]],'Rosa 16'!$B$1:$G$17,4,FALSE)</f>
        <v>213,75° – 236,25°</v>
      </c>
      <c r="E66">
        <v>411</v>
      </c>
      <c r="F66" s="50">
        <v>3.6824817518248101</v>
      </c>
      <c r="G66" s="50">
        <v>16.0240875912408</v>
      </c>
      <c r="H66" s="50">
        <v>217.58394160583899</v>
      </c>
      <c r="I66" s="51">
        <f>ocurrencias[[#This Row],[conteo]]/ocurrencias[[#Totals],[conteo]]</f>
        <v>1.02691979031847E-3</v>
      </c>
      <c r="J66" s="50">
        <f>365*ocurrencias[[#This Row],[conteo]]/ocurrencias[[#Totals],[conteo]]</f>
        <v>0.3748257234662416</v>
      </c>
      <c r="K66">
        <v>0.102691979031847</v>
      </c>
    </row>
    <row r="67" spans="1:11" x14ac:dyDescent="0.3">
      <c r="A67" t="s">
        <v>157</v>
      </c>
      <c r="B67" t="s">
        <v>168</v>
      </c>
      <c r="C67" t="s">
        <v>19</v>
      </c>
      <c r="D67" t="str">
        <f>VLOOKUP(ocurrencias[[#This Row],[Dir]],'Rosa 16'!$B$1:$G$17,4,FALSE)</f>
        <v>258,75° – 281,25°</v>
      </c>
      <c r="E67">
        <v>387</v>
      </c>
      <c r="F67" s="50">
        <v>2.2139793281653701</v>
      </c>
      <c r="G67" s="50">
        <v>17.717364341085201</v>
      </c>
      <c r="H67" s="50">
        <v>272.11369509043902</v>
      </c>
      <c r="I67" s="51">
        <f>ocurrencias[[#This Row],[conteo]]/ocurrencias[[#Totals],[conteo]]</f>
        <v>9.6695367117578563E-4</v>
      </c>
      <c r="J67" s="50">
        <f>365*ocurrencias[[#This Row],[conteo]]/ocurrencias[[#Totals],[conteo]]</f>
        <v>0.35293808997916176</v>
      </c>
      <c r="K67">
        <v>9.6695367117578507E-2</v>
      </c>
    </row>
    <row r="68" spans="1:11" x14ac:dyDescent="0.3">
      <c r="A68" t="s">
        <v>156</v>
      </c>
      <c r="B68" t="s">
        <v>169</v>
      </c>
      <c r="C68" t="s">
        <v>17</v>
      </c>
      <c r="D68" t="str">
        <f>VLOOKUP(ocurrencias[[#This Row],[Dir]],'Rosa 16'!$B$1:$G$17,4,FALSE)</f>
        <v>213,75° – 236,25°</v>
      </c>
      <c r="E68">
        <v>378</v>
      </c>
      <c r="F68" s="50">
        <v>1.8493386243386201</v>
      </c>
      <c r="G68" s="50">
        <v>21.057619047618999</v>
      </c>
      <c r="H68" s="50">
        <v>220.86243386243299</v>
      </c>
      <c r="I68" s="51">
        <f>ocurrencias[[#This Row],[conteo]]/ocurrencias[[#Totals],[conteo]]</f>
        <v>9.4446637649727903E-4</v>
      </c>
      <c r="J68" s="50">
        <f>365*ocurrencias[[#This Row],[conteo]]/ocurrencias[[#Totals],[conteo]]</f>
        <v>0.34473022742150683</v>
      </c>
      <c r="K68">
        <v>9.4446637649727896E-2</v>
      </c>
    </row>
    <row r="69" spans="1:11" x14ac:dyDescent="0.3">
      <c r="A69" t="s">
        <v>156</v>
      </c>
      <c r="B69" t="s">
        <v>167</v>
      </c>
      <c r="C69" t="s">
        <v>74</v>
      </c>
      <c r="D69" t="str">
        <f>VLOOKUP(ocurrencias[[#This Row],[Dir]],'Rosa 16'!$B$1:$G$17,4,FALSE)</f>
        <v>303,75° – 326,25°</v>
      </c>
      <c r="E69">
        <v>368</v>
      </c>
      <c r="F69" s="50">
        <v>1.6874456521739101</v>
      </c>
      <c r="G69" s="50">
        <v>16.0598097826086</v>
      </c>
      <c r="H69">
        <v>304.25</v>
      </c>
      <c r="I69" s="51">
        <f>ocurrencias[[#This Row],[conteo]]/ocurrencias[[#Totals],[conteo]]</f>
        <v>9.1948049352116054E-4</v>
      </c>
      <c r="J69" s="50">
        <f>365*ocurrencias[[#This Row],[conteo]]/ocurrencias[[#Totals],[conteo]]</f>
        <v>0.3356103801352236</v>
      </c>
      <c r="K69">
        <v>9.1948049352116007E-2</v>
      </c>
    </row>
    <row r="70" spans="1:11" x14ac:dyDescent="0.3">
      <c r="A70" t="s">
        <v>158</v>
      </c>
      <c r="B70" t="s">
        <v>164</v>
      </c>
      <c r="C70" t="s">
        <v>15</v>
      </c>
      <c r="D70" t="str">
        <f>VLOOKUP(ocurrencias[[#This Row],[Dir]],'Rosa 16'!$B$1:$G$17,4,FALSE)</f>
        <v>168,75° – 191,25°</v>
      </c>
      <c r="E70">
        <v>355</v>
      </c>
      <c r="F70" s="50">
        <v>2.69338028169014</v>
      </c>
      <c r="G70" s="50">
        <v>7.6671830985915399</v>
      </c>
      <c r="H70" s="50">
        <v>177.69014084507</v>
      </c>
      <c r="I70" s="51">
        <f>ocurrencias[[#This Row],[conteo]]/ocurrencias[[#Totals],[conteo]]</f>
        <v>8.8699884565220653E-4</v>
      </c>
      <c r="J70" s="50">
        <f>365*ocurrencias[[#This Row],[conteo]]/ocurrencias[[#Totals],[conteo]]</f>
        <v>0.32375457866305535</v>
      </c>
      <c r="K70">
        <v>8.8699884565220599E-2</v>
      </c>
    </row>
    <row r="71" spans="1:11" x14ac:dyDescent="0.3">
      <c r="A71" t="s">
        <v>155</v>
      </c>
      <c r="B71" t="s">
        <v>165</v>
      </c>
      <c r="C71" t="s">
        <v>15</v>
      </c>
      <c r="D71" t="str">
        <f>VLOOKUP(ocurrencias[[#This Row],[Dir]],'Rosa 16'!$B$1:$G$17,4,FALSE)</f>
        <v>168,75° – 191,25°</v>
      </c>
      <c r="E71">
        <v>347</v>
      </c>
      <c r="F71" s="50">
        <v>1.3885302593659901</v>
      </c>
      <c r="G71" s="50">
        <v>9.6869164265129601</v>
      </c>
      <c r="H71" s="50">
        <v>185.40634005763599</v>
      </c>
      <c r="I71" s="51">
        <f>ocurrencias[[#This Row],[conteo]]/ocurrencias[[#Totals],[conteo]]</f>
        <v>8.670101392713117E-4</v>
      </c>
      <c r="J71" s="50">
        <f>365*ocurrencias[[#This Row],[conteo]]/ocurrencias[[#Totals],[conteo]]</f>
        <v>0.31645870083402877</v>
      </c>
      <c r="K71">
        <v>8.6701013927131101E-2</v>
      </c>
    </row>
    <row r="72" spans="1:11" x14ac:dyDescent="0.3">
      <c r="A72" t="s">
        <v>157</v>
      </c>
      <c r="B72" t="s">
        <v>168</v>
      </c>
      <c r="C72" t="s">
        <v>18</v>
      </c>
      <c r="D72" t="str">
        <f>VLOOKUP(ocurrencias[[#This Row],[Dir]],'Rosa 16'!$B$1:$G$17,4,FALSE)</f>
        <v>236,25° – 258,75°</v>
      </c>
      <c r="E72">
        <v>341</v>
      </c>
      <c r="F72" s="50">
        <v>2.1967448680351902</v>
      </c>
      <c r="G72" s="50">
        <v>17.917243401759499</v>
      </c>
      <c r="H72" s="50">
        <v>244.686217008797</v>
      </c>
      <c r="I72" s="51">
        <f>ocurrencias[[#This Row],[conteo]]/ocurrencias[[#Totals],[conteo]]</f>
        <v>8.5201860948564063E-4</v>
      </c>
      <c r="J72" s="50">
        <f>365*ocurrencias[[#This Row],[conteo]]/ocurrencias[[#Totals],[conteo]]</f>
        <v>0.3109867924622588</v>
      </c>
      <c r="K72">
        <v>8.5201860948563996E-2</v>
      </c>
    </row>
    <row r="73" spans="1:11" x14ac:dyDescent="0.3">
      <c r="A73" t="s">
        <v>156</v>
      </c>
      <c r="B73" t="s">
        <v>165</v>
      </c>
      <c r="C73" t="s">
        <v>17</v>
      </c>
      <c r="D73" t="str">
        <f>VLOOKUP(ocurrencias[[#This Row],[Dir]],'Rosa 16'!$B$1:$G$17,4,FALSE)</f>
        <v>213,75° – 236,25°</v>
      </c>
      <c r="E73">
        <v>329</v>
      </c>
      <c r="F73" s="50">
        <v>1.6495744680851001</v>
      </c>
      <c r="G73" s="50">
        <v>10.8118541033434</v>
      </c>
      <c r="H73" s="50">
        <v>218.27051671732499</v>
      </c>
      <c r="I73" s="51">
        <f>ocurrencias[[#This Row],[conteo]]/ocurrencias[[#Totals],[conteo]]</f>
        <v>8.2203554991429838E-4</v>
      </c>
      <c r="J73" s="50">
        <f>365*ocurrencias[[#This Row],[conteo]]/ocurrencias[[#Totals],[conteo]]</f>
        <v>0.30004297571871891</v>
      </c>
      <c r="K73">
        <v>8.2203554991429797E-2</v>
      </c>
    </row>
    <row r="74" spans="1:11" x14ac:dyDescent="0.3">
      <c r="A74" t="s">
        <v>157</v>
      </c>
      <c r="B74" t="s">
        <v>169</v>
      </c>
      <c r="C74" t="s">
        <v>16</v>
      </c>
      <c r="D74" t="str">
        <f>VLOOKUP(ocurrencias[[#This Row],[Dir]],'Rosa 16'!$B$1:$G$17,4,FALSE)</f>
        <v>191,25° – 213,75°</v>
      </c>
      <c r="E74">
        <v>317</v>
      </c>
      <c r="F74" s="50">
        <v>2.2247634069400601</v>
      </c>
      <c r="G74" s="50">
        <v>20.897476340693999</v>
      </c>
      <c r="H74">
        <v>206.19873817034701</v>
      </c>
      <c r="I74" s="51">
        <f>ocurrencias[[#This Row],[conteo]]/ocurrencias[[#Totals],[conteo]]</f>
        <v>7.9205249034295625E-4</v>
      </c>
      <c r="J74" s="50">
        <f>365*ocurrencias[[#This Row],[conteo]]/ocurrencias[[#Totals],[conteo]]</f>
        <v>0.28909915897517902</v>
      </c>
      <c r="K74">
        <v>7.9205249034295599E-2</v>
      </c>
    </row>
    <row r="75" spans="1:11" x14ac:dyDescent="0.3">
      <c r="A75" t="s">
        <v>160</v>
      </c>
      <c r="B75" t="s">
        <v>168</v>
      </c>
      <c r="C75" t="s">
        <v>17</v>
      </c>
      <c r="D75" t="str">
        <f>VLOOKUP(ocurrencias[[#This Row],[Dir]],'Rosa 16'!$B$1:$G$17,4,FALSE)</f>
        <v>213,75° – 236,25°</v>
      </c>
      <c r="E75">
        <v>317</v>
      </c>
      <c r="F75" s="50">
        <v>3.6785804416403698</v>
      </c>
      <c r="G75" s="50">
        <v>18.034826498422699</v>
      </c>
      <c r="H75" s="50">
        <v>217.154574132492</v>
      </c>
      <c r="I75" s="51">
        <f>ocurrencias[[#This Row],[conteo]]/ocurrencias[[#Totals],[conteo]]</f>
        <v>7.9205249034295625E-4</v>
      </c>
      <c r="J75" s="50">
        <f>365*ocurrencias[[#This Row],[conteo]]/ocurrencias[[#Totals],[conteo]]</f>
        <v>0.28909915897517902</v>
      </c>
      <c r="K75">
        <v>7.9205249034295599E-2</v>
      </c>
    </row>
    <row r="76" spans="1:11" x14ac:dyDescent="0.3">
      <c r="A76" t="s">
        <v>158</v>
      </c>
      <c r="B76" t="s">
        <v>167</v>
      </c>
      <c r="C76" t="s">
        <v>15</v>
      </c>
      <c r="D76" t="str">
        <f>VLOOKUP(ocurrencias[[#This Row],[Dir]],'Rosa 16'!$B$1:$G$17,4,FALSE)</f>
        <v>168,75° – 191,25°</v>
      </c>
      <c r="E76">
        <v>311</v>
      </c>
      <c r="F76" s="50">
        <v>2.6930868167202502</v>
      </c>
      <c r="G76" s="50">
        <v>15.2661093247588</v>
      </c>
      <c r="H76">
        <v>189.52411575562701</v>
      </c>
      <c r="I76" s="51">
        <f>ocurrencias[[#This Row],[conteo]]/ocurrencias[[#Totals],[conteo]]</f>
        <v>7.7706096055728518E-4</v>
      </c>
      <c r="J76" s="50">
        <f>365*ocurrencias[[#This Row],[conteo]]/ocurrencias[[#Totals],[conteo]]</f>
        <v>0.2836272506034091</v>
      </c>
      <c r="K76">
        <v>7.7706096055728494E-2</v>
      </c>
    </row>
    <row r="77" spans="1:11" x14ac:dyDescent="0.3">
      <c r="A77" t="s">
        <v>156</v>
      </c>
      <c r="B77" t="s">
        <v>167</v>
      </c>
      <c r="C77" t="s">
        <v>15</v>
      </c>
      <c r="D77" t="str">
        <f>VLOOKUP(ocurrencias[[#This Row],[Dir]],'Rosa 16'!$B$1:$G$17,4,FALSE)</f>
        <v>168,75° – 191,25°</v>
      </c>
      <c r="E77">
        <v>301</v>
      </c>
      <c r="F77">
        <v>1.7853156146179401</v>
      </c>
      <c r="G77" s="50">
        <v>15.365182724252399</v>
      </c>
      <c r="H77" s="50">
        <v>187.272425249169</v>
      </c>
      <c r="I77" s="51">
        <f>ocurrencias[[#This Row],[conteo]]/ocurrencias[[#Totals],[conteo]]</f>
        <v>7.5207507758116659E-4</v>
      </c>
      <c r="J77" s="50">
        <f>365*ocurrencias[[#This Row],[conteo]]/ocurrencias[[#Totals],[conteo]]</f>
        <v>0.27450740331712581</v>
      </c>
      <c r="K77">
        <v>7.5207507758116604E-2</v>
      </c>
    </row>
    <row r="78" spans="1:11" x14ac:dyDescent="0.3">
      <c r="A78" t="s">
        <v>161</v>
      </c>
      <c r="B78" t="s">
        <v>168</v>
      </c>
      <c r="C78" t="s">
        <v>16</v>
      </c>
      <c r="D78" t="str">
        <f>VLOOKUP(ocurrencias[[#This Row],[Dir]],'Rosa 16'!$B$1:$G$17,4,FALSE)</f>
        <v>191,25° – 213,75°</v>
      </c>
      <c r="E78">
        <v>288</v>
      </c>
      <c r="F78" s="50">
        <v>4.13822916666666</v>
      </c>
      <c r="G78" s="50">
        <v>17.882118055555502</v>
      </c>
      <c r="H78" s="50">
        <v>205.722222222222</v>
      </c>
      <c r="I78" s="51">
        <f>ocurrencias[[#This Row],[conteo]]/ocurrencias[[#Totals],[conteo]]</f>
        <v>7.1959342971221257E-4</v>
      </c>
      <c r="J78" s="50">
        <f>365*ocurrencias[[#This Row],[conteo]]/ocurrencias[[#Totals],[conteo]]</f>
        <v>0.26265160184495762</v>
      </c>
      <c r="K78">
        <v>7.1959342971221196E-2</v>
      </c>
    </row>
    <row r="79" spans="1:11" x14ac:dyDescent="0.3">
      <c r="A79" t="s">
        <v>156</v>
      </c>
      <c r="B79" t="s">
        <v>169</v>
      </c>
      <c r="C79" t="s">
        <v>74</v>
      </c>
      <c r="D79" t="str">
        <f>VLOOKUP(ocurrencias[[#This Row],[Dir]],'Rosa 16'!$B$1:$G$17,4,FALSE)</f>
        <v>303,75° – 326,25°</v>
      </c>
      <c r="E79">
        <v>285</v>
      </c>
      <c r="F79" s="50">
        <v>1.7516140350877101</v>
      </c>
      <c r="G79" s="50">
        <v>21.243578947368398</v>
      </c>
      <c r="H79" s="50">
        <v>304.24912280701699</v>
      </c>
      <c r="I79" s="51">
        <f>ocurrencias[[#This Row],[conteo]]/ocurrencias[[#Totals],[conteo]]</f>
        <v>7.1209766481937704E-4</v>
      </c>
      <c r="J79" s="50">
        <f>365*ocurrencias[[#This Row],[conteo]]/ocurrencias[[#Totals],[conteo]]</f>
        <v>0.2599156476590726</v>
      </c>
      <c r="K79">
        <v>7.1209766481937706E-2</v>
      </c>
    </row>
    <row r="80" spans="1:11" x14ac:dyDescent="0.3">
      <c r="A80" t="s">
        <v>158</v>
      </c>
      <c r="B80" t="s">
        <v>169</v>
      </c>
      <c r="C80" t="s">
        <v>17</v>
      </c>
      <c r="D80" t="str">
        <f>VLOOKUP(ocurrencias[[#This Row],[Dir]],'Rosa 16'!$B$1:$G$17,4,FALSE)</f>
        <v>213,75° – 236,25°</v>
      </c>
      <c r="E80">
        <v>258</v>
      </c>
      <c r="F80" s="50">
        <v>2.6820542635658899</v>
      </c>
      <c r="G80" s="50">
        <v>20.983139534883701</v>
      </c>
      <c r="H80" s="50">
        <v>218.84883720930199</v>
      </c>
      <c r="I80" s="51">
        <f>ocurrencias[[#This Row],[conteo]]/ocurrencias[[#Totals],[conteo]]</f>
        <v>6.4463578078385712E-4</v>
      </c>
      <c r="J80" s="50">
        <f>365*ocurrencias[[#This Row],[conteo]]/ocurrencias[[#Totals],[conteo]]</f>
        <v>0.23529205998610786</v>
      </c>
      <c r="K80">
        <v>6.4463578078385694E-2</v>
      </c>
    </row>
    <row r="81" spans="1:11" x14ac:dyDescent="0.3">
      <c r="A81" t="s">
        <v>161</v>
      </c>
      <c r="B81" t="s">
        <v>167</v>
      </c>
      <c r="C81" t="s">
        <v>16</v>
      </c>
      <c r="D81" t="str">
        <f>VLOOKUP(ocurrencias[[#This Row],[Dir]],'Rosa 16'!$B$1:$G$17,4,FALSE)</f>
        <v>191,25° – 213,75°</v>
      </c>
      <c r="E81">
        <v>251</v>
      </c>
      <c r="F81" s="50">
        <v>4.14434262948207</v>
      </c>
      <c r="G81" s="50">
        <v>15.917768924302701</v>
      </c>
      <c r="H81" s="50">
        <v>203.17131474103499</v>
      </c>
      <c r="I81" s="51">
        <f>ocurrencias[[#This Row],[conteo]]/ocurrencias[[#Totals],[conteo]]</f>
        <v>6.2714566270057417E-4</v>
      </c>
      <c r="J81" s="50">
        <f>365*ocurrencias[[#This Row],[conteo]]/ocurrencias[[#Totals],[conteo]]</f>
        <v>0.22890816688570959</v>
      </c>
      <c r="K81">
        <v>6.2714566270057406E-2</v>
      </c>
    </row>
    <row r="82" spans="1:11" x14ac:dyDescent="0.3">
      <c r="A82" t="s">
        <v>156</v>
      </c>
      <c r="B82" t="s">
        <v>169</v>
      </c>
      <c r="C82" t="s">
        <v>16</v>
      </c>
      <c r="D82" t="str">
        <f>VLOOKUP(ocurrencias[[#This Row],[Dir]],'Rosa 16'!$B$1:$G$17,4,FALSE)</f>
        <v>191,25° – 213,75°</v>
      </c>
      <c r="E82">
        <v>214</v>
      </c>
      <c r="F82" s="50">
        <v>1.8260280373831701</v>
      </c>
      <c r="G82" s="50">
        <v>21.098785046728899</v>
      </c>
      <c r="H82" s="50">
        <v>208.962616822429</v>
      </c>
      <c r="I82" s="51">
        <f>ocurrencias[[#This Row],[conteo]]/ocurrencias[[#Totals],[conteo]]</f>
        <v>5.3469789568893577E-4</v>
      </c>
      <c r="J82" s="50">
        <f>365*ocurrencias[[#This Row],[conteo]]/ocurrencias[[#Totals],[conteo]]</f>
        <v>0.19516473192646155</v>
      </c>
      <c r="K82" s="50">
        <v>5.3469789568893498E-2</v>
      </c>
    </row>
    <row r="83" spans="1:11" x14ac:dyDescent="0.3">
      <c r="A83" t="s">
        <v>156</v>
      </c>
      <c r="B83" t="s">
        <v>169</v>
      </c>
      <c r="C83" t="s">
        <v>20</v>
      </c>
      <c r="D83" t="str">
        <f>VLOOKUP(ocurrencias[[#This Row],[Dir]],'Rosa 16'!$B$1:$G$17,4,FALSE)</f>
        <v>281,25° – 303,75°</v>
      </c>
      <c r="E83">
        <v>200</v>
      </c>
      <c r="F83">
        <v>1.74255</v>
      </c>
      <c r="G83" s="50">
        <v>21.203199999999999</v>
      </c>
      <c r="H83">
        <v>301.45999999999998</v>
      </c>
      <c r="I83" s="51">
        <f>ocurrencias[[#This Row],[conteo]]/ocurrencias[[#Totals],[conteo]]</f>
        <v>4.9971765952236988E-4</v>
      </c>
      <c r="J83" s="50">
        <f>365*ocurrencias[[#This Row],[conteo]]/ocurrencias[[#Totals],[conteo]]</f>
        <v>0.18239694572566501</v>
      </c>
      <c r="K83" s="50">
        <v>4.9971765952236902E-2</v>
      </c>
    </row>
    <row r="84" spans="1:11" x14ac:dyDescent="0.3">
      <c r="A84" t="s">
        <v>155</v>
      </c>
      <c r="B84" t="s">
        <v>168</v>
      </c>
      <c r="C84" t="s">
        <v>74</v>
      </c>
      <c r="D84" t="str">
        <f>VLOOKUP(ocurrencias[[#This Row],[Dir]],'Rosa 16'!$B$1:$G$17,4,FALSE)</f>
        <v>303,75° – 326,25°</v>
      </c>
      <c r="E84">
        <v>192</v>
      </c>
      <c r="F84">
        <v>1.413125</v>
      </c>
      <c r="G84">
        <v>18.30515625</v>
      </c>
      <c r="H84" s="50">
        <v>304.369791666666</v>
      </c>
      <c r="I84" s="51">
        <f>ocurrencias[[#This Row],[conteo]]/ocurrencias[[#Totals],[conteo]]</f>
        <v>4.7972895314147505E-4</v>
      </c>
      <c r="J84" s="50">
        <f>365*ocurrencias[[#This Row],[conteo]]/ocurrencias[[#Totals],[conteo]]</f>
        <v>0.1751010678966384</v>
      </c>
      <c r="K84">
        <v>4.7972895314147501E-2</v>
      </c>
    </row>
    <row r="85" spans="1:11" x14ac:dyDescent="0.3">
      <c r="A85" t="s">
        <v>158</v>
      </c>
      <c r="B85" t="s">
        <v>169</v>
      </c>
      <c r="C85" t="s">
        <v>16</v>
      </c>
      <c r="D85" t="str">
        <f>VLOOKUP(ocurrencias[[#This Row],[Dir]],'Rosa 16'!$B$1:$G$17,4,FALSE)</f>
        <v>191,25° – 213,75°</v>
      </c>
      <c r="E85">
        <v>184</v>
      </c>
      <c r="F85" s="50">
        <v>2.7444565217391301</v>
      </c>
      <c r="G85" s="50">
        <v>20.8393478260869</v>
      </c>
      <c r="H85" s="50">
        <v>206.28804347825999</v>
      </c>
      <c r="I85" s="51">
        <f>ocurrencias[[#This Row],[conteo]]/ocurrencias[[#Totals],[conteo]]</f>
        <v>4.5974024676058027E-4</v>
      </c>
      <c r="J85" s="50">
        <f>365*ocurrencias[[#This Row],[conteo]]/ocurrencias[[#Totals],[conteo]]</f>
        <v>0.1678051900676118</v>
      </c>
      <c r="K85" s="50">
        <v>4.5974024676058003E-2</v>
      </c>
    </row>
    <row r="86" spans="1:11" x14ac:dyDescent="0.3">
      <c r="A86" t="s">
        <v>155</v>
      </c>
      <c r="B86" t="s">
        <v>167</v>
      </c>
      <c r="C86" t="s">
        <v>15</v>
      </c>
      <c r="D86" t="str">
        <f>VLOOKUP(ocurrencias[[#This Row],[Dir]],'Rosa 16'!$B$1:$G$17,4,FALSE)</f>
        <v>168,75° – 191,25°</v>
      </c>
      <c r="E86">
        <v>176</v>
      </c>
      <c r="F86" s="50">
        <v>1.25920454545454</v>
      </c>
      <c r="G86" s="50">
        <v>15.066420454545399</v>
      </c>
      <c r="H86" s="50">
        <v>176.03409090909</v>
      </c>
      <c r="I86" s="51">
        <f>ocurrencias[[#This Row],[conteo]]/ocurrencias[[#Totals],[conteo]]</f>
        <v>4.397515403796855E-4</v>
      </c>
      <c r="J86" s="50">
        <f>365*ocurrencias[[#This Row],[conteo]]/ocurrencias[[#Totals],[conteo]]</f>
        <v>0.16050931223858519</v>
      </c>
      <c r="K86">
        <v>4.3975154037968499E-2</v>
      </c>
    </row>
    <row r="87" spans="1:11" x14ac:dyDescent="0.3">
      <c r="A87" t="s">
        <v>156</v>
      </c>
      <c r="B87" t="s">
        <v>168</v>
      </c>
      <c r="C87" t="s">
        <v>15</v>
      </c>
      <c r="D87" t="str">
        <f>VLOOKUP(ocurrencias[[#This Row],[Dir]],'Rosa 16'!$B$1:$G$17,4,FALSE)</f>
        <v>168,75° – 191,25°</v>
      </c>
      <c r="E87">
        <v>173</v>
      </c>
      <c r="F87" s="50">
        <v>1.7679768786127099</v>
      </c>
      <c r="G87">
        <v>18.010000000000002</v>
      </c>
      <c r="H87" s="50">
        <v>186.07514450867001</v>
      </c>
      <c r="I87" s="51">
        <f>ocurrencias[[#This Row],[conteo]]/ocurrencias[[#Totals],[conteo]]</f>
        <v>4.3225577548684991E-4</v>
      </c>
      <c r="J87" s="50">
        <f>365*ocurrencias[[#This Row],[conteo]]/ocurrencias[[#Totals],[conteo]]</f>
        <v>0.15777335805270024</v>
      </c>
      <c r="K87" s="50">
        <v>4.3225577548684897E-2</v>
      </c>
    </row>
    <row r="88" spans="1:11" x14ac:dyDescent="0.3">
      <c r="A88" t="s">
        <v>160</v>
      </c>
      <c r="B88" t="s">
        <v>166</v>
      </c>
      <c r="C88" t="s">
        <v>16</v>
      </c>
      <c r="D88" t="str">
        <f>VLOOKUP(ocurrencias[[#This Row],[Dir]],'Rosa 16'!$B$1:$G$17,4,FALSE)</f>
        <v>191,25° – 213,75°</v>
      </c>
      <c r="E88">
        <v>162</v>
      </c>
      <c r="F88" s="50">
        <v>3.6640740740740698</v>
      </c>
      <c r="G88" s="50">
        <v>13.351049382716001</v>
      </c>
      <c r="H88" s="50">
        <v>201.524691358024</v>
      </c>
      <c r="I88" s="51">
        <f>ocurrencias[[#This Row],[conteo]]/ocurrencias[[#Totals],[conteo]]</f>
        <v>4.047713042131196E-4</v>
      </c>
      <c r="J88" s="50">
        <f>365*ocurrencias[[#This Row],[conteo]]/ocurrencias[[#Totals],[conteo]]</f>
        <v>0.14774152603778865</v>
      </c>
      <c r="K88">
        <v>4.0477130421311902E-2</v>
      </c>
    </row>
    <row r="89" spans="1:11" x14ac:dyDescent="0.3">
      <c r="A89" t="s">
        <v>159</v>
      </c>
      <c r="B89" t="s">
        <v>166</v>
      </c>
      <c r="C89" t="s">
        <v>15</v>
      </c>
      <c r="D89" t="str">
        <f>VLOOKUP(ocurrencias[[#This Row],[Dir]],'Rosa 16'!$B$1:$G$17,4,FALSE)</f>
        <v>168,75° – 191,25°</v>
      </c>
      <c r="E89">
        <v>160</v>
      </c>
      <c r="F89">
        <v>3.1856249999999999</v>
      </c>
      <c r="G89">
        <v>12.070562499999999</v>
      </c>
      <c r="H89">
        <v>187.38124999999999</v>
      </c>
      <c r="I89" s="51">
        <f>ocurrencias[[#This Row],[conteo]]/ocurrencias[[#Totals],[conteo]]</f>
        <v>3.9977412761789589E-4</v>
      </c>
      <c r="J89" s="50">
        <f>365*ocurrencias[[#This Row],[conteo]]/ocurrencias[[#Totals],[conteo]]</f>
        <v>0.14591755658053199</v>
      </c>
      <c r="K89">
        <v>3.9977412761789503E-2</v>
      </c>
    </row>
    <row r="90" spans="1:11" x14ac:dyDescent="0.3">
      <c r="A90" t="s">
        <v>158</v>
      </c>
      <c r="B90" t="s">
        <v>168</v>
      </c>
      <c r="C90" t="s">
        <v>15</v>
      </c>
      <c r="D90" t="str">
        <f>VLOOKUP(ocurrencias[[#This Row],[Dir]],'Rosa 16'!$B$1:$G$17,4,FALSE)</f>
        <v>168,75° – 191,25°</v>
      </c>
      <c r="E90">
        <v>155</v>
      </c>
      <c r="F90" s="50">
        <v>2.74212903225806</v>
      </c>
      <c r="G90" s="50">
        <v>17.990903225806399</v>
      </c>
      <c r="H90" s="50">
        <v>189.92903225806401</v>
      </c>
      <c r="I90" s="51">
        <f>ocurrencias[[#This Row],[conteo]]/ocurrencias[[#Totals],[conteo]]</f>
        <v>3.8728118612983665E-4</v>
      </c>
      <c r="J90" s="50">
        <f>365*ocurrencias[[#This Row],[conteo]]/ocurrencias[[#Totals],[conteo]]</f>
        <v>0.14135763293739037</v>
      </c>
      <c r="K90">
        <v>3.87281186129836E-2</v>
      </c>
    </row>
    <row r="91" spans="1:11" x14ac:dyDescent="0.3">
      <c r="A91" t="s">
        <v>155</v>
      </c>
      <c r="B91" t="s">
        <v>166</v>
      </c>
      <c r="C91" t="s">
        <v>19</v>
      </c>
      <c r="D91" t="str">
        <f>VLOOKUP(ocurrencias[[#This Row],[Dir]],'Rosa 16'!$B$1:$G$17,4,FALSE)</f>
        <v>258,75° – 281,25°</v>
      </c>
      <c r="E91">
        <v>141</v>
      </c>
      <c r="F91" s="50">
        <v>1.3127659574468</v>
      </c>
      <c r="G91" s="50">
        <v>13.2278014184397</v>
      </c>
      <c r="H91" s="50">
        <v>268.08510638297798</v>
      </c>
      <c r="I91" s="51">
        <f>ocurrencias[[#This Row],[conteo]]/ocurrencias[[#Totals],[conteo]]</f>
        <v>3.5230094996327075E-4</v>
      </c>
      <c r="J91" s="50">
        <f>365*ocurrencias[[#This Row],[conteo]]/ocurrencias[[#Totals],[conteo]]</f>
        <v>0.12858984673659382</v>
      </c>
      <c r="K91">
        <v>3.5230094996326997E-2</v>
      </c>
    </row>
    <row r="92" spans="1:11" x14ac:dyDescent="0.3">
      <c r="A92" t="s">
        <v>159</v>
      </c>
      <c r="B92" t="s">
        <v>169</v>
      </c>
      <c r="C92" t="s">
        <v>16</v>
      </c>
      <c r="D92" t="str">
        <f>VLOOKUP(ocurrencias[[#This Row],[Dir]],'Rosa 16'!$B$1:$G$17,4,FALSE)</f>
        <v>191,25° – 213,75°</v>
      </c>
      <c r="E92">
        <v>141</v>
      </c>
      <c r="F92" s="50">
        <v>3.18156028368794</v>
      </c>
      <c r="G92" s="50">
        <v>20.8190070921985</v>
      </c>
      <c r="H92" s="50">
        <v>205.7304964539</v>
      </c>
      <c r="I92" s="51">
        <f>ocurrencias[[#This Row],[conteo]]/ocurrencias[[#Totals],[conteo]]</f>
        <v>3.5230094996327075E-4</v>
      </c>
      <c r="J92" s="50">
        <f>365*ocurrencias[[#This Row],[conteo]]/ocurrencias[[#Totals],[conteo]]</f>
        <v>0.12858984673659382</v>
      </c>
      <c r="K92">
        <v>3.5230094996326997E-2</v>
      </c>
    </row>
    <row r="93" spans="1:11" x14ac:dyDescent="0.3">
      <c r="A93" t="s">
        <v>157</v>
      </c>
      <c r="B93" t="s">
        <v>168</v>
      </c>
      <c r="C93" t="s">
        <v>15</v>
      </c>
      <c r="D93" t="str">
        <f>VLOOKUP(ocurrencias[[#This Row],[Dir]],'Rosa 16'!$B$1:$G$17,4,FALSE)</f>
        <v>168,75° – 191,25°</v>
      </c>
      <c r="E93">
        <v>132</v>
      </c>
      <c r="F93" s="50">
        <v>2.2710606060605998</v>
      </c>
      <c r="G93">
        <v>18.035</v>
      </c>
      <c r="H93" s="50">
        <v>188.78787878787799</v>
      </c>
      <c r="I93" s="51">
        <f>ocurrencias[[#This Row],[conteo]]/ocurrencias[[#Totals],[conteo]]</f>
        <v>3.2981365528476409E-4</v>
      </c>
      <c r="J93" s="50">
        <f>365*ocurrencias[[#This Row],[conteo]]/ocurrencias[[#Totals],[conteo]]</f>
        <v>0.1203819841789389</v>
      </c>
      <c r="K93" s="50">
        <v>3.29813655284764E-2</v>
      </c>
    </row>
    <row r="94" spans="1:11" x14ac:dyDescent="0.3">
      <c r="A94" t="s">
        <v>157</v>
      </c>
      <c r="B94" t="s">
        <v>169</v>
      </c>
      <c r="C94" t="s">
        <v>74</v>
      </c>
      <c r="D94" t="str">
        <f>VLOOKUP(ocurrencias[[#This Row],[Dir]],'Rosa 16'!$B$1:$G$17,4,FALSE)</f>
        <v>303,75° – 326,25°</v>
      </c>
      <c r="E94">
        <v>130</v>
      </c>
      <c r="F94" s="50">
        <v>2.1093846153846099</v>
      </c>
      <c r="G94" s="50">
        <v>21.236230769230701</v>
      </c>
      <c r="H94" s="50">
        <v>304.053846153846</v>
      </c>
      <c r="I94" s="51">
        <f>ocurrencias[[#This Row],[conteo]]/ocurrencias[[#Totals],[conteo]]</f>
        <v>3.2481647868954039E-4</v>
      </c>
      <c r="J94" s="50">
        <f>365*ocurrencias[[#This Row],[conteo]]/ocurrencias[[#Totals],[conteo]]</f>
        <v>0.11855801472168224</v>
      </c>
      <c r="K94">
        <v>3.2481647868954001E-2</v>
      </c>
    </row>
    <row r="95" spans="1:11" x14ac:dyDescent="0.3">
      <c r="A95" t="s">
        <v>159</v>
      </c>
      <c r="B95" t="s">
        <v>166</v>
      </c>
      <c r="C95" t="s">
        <v>17</v>
      </c>
      <c r="D95" t="str">
        <f>VLOOKUP(ocurrencias[[#This Row],[Dir]],'Rosa 16'!$B$1:$G$17,4,FALSE)</f>
        <v>213,75° – 236,25°</v>
      </c>
      <c r="E95">
        <v>130</v>
      </c>
      <c r="F95" s="50">
        <v>3.16307692307692</v>
      </c>
      <c r="G95" s="50">
        <v>13.352692307692299</v>
      </c>
      <c r="H95" s="50">
        <v>217.230769230769</v>
      </c>
      <c r="I95" s="51">
        <f>ocurrencias[[#This Row],[conteo]]/ocurrencias[[#Totals],[conteo]]</f>
        <v>3.2481647868954039E-4</v>
      </c>
      <c r="J95" s="50">
        <f>365*ocurrencias[[#This Row],[conteo]]/ocurrencias[[#Totals],[conteo]]</f>
        <v>0.11855801472168224</v>
      </c>
      <c r="K95">
        <v>3.2481647868954001E-2</v>
      </c>
    </row>
    <row r="96" spans="1:11" x14ac:dyDescent="0.3">
      <c r="A96" t="s">
        <v>158</v>
      </c>
      <c r="B96" t="s">
        <v>165</v>
      </c>
      <c r="C96" t="s">
        <v>16</v>
      </c>
      <c r="D96" t="str">
        <f>VLOOKUP(ocurrencias[[#This Row],[Dir]],'Rosa 16'!$B$1:$G$17,4,FALSE)</f>
        <v>191,25° – 213,75°</v>
      </c>
      <c r="E96">
        <v>128</v>
      </c>
      <c r="F96">
        <v>2.6889062500000001</v>
      </c>
      <c r="G96">
        <v>10.32625</v>
      </c>
      <c r="H96">
        <v>194.9609375</v>
      </c>
      <c r="I96" s="51">
        <f>ocurrencias[[#This Row],[conteo]]/ocurrencias[[#Totals],[conteo]]</f>
        <v>3.1981930209431673E-4</v>
      </c>
      <c r="J96" s="50">
        <f>365*ocurrencias[[#This Row],[conteo]]/ocurrencias[[#Totals],[conteo]]</f>
        <v>0.1167340452644256</v>
      </c>
      <c r="K96">
        <v>3.1981930209431603E-2</v>
      </c>
    </row>
    <row r="97" spans="1:11" x14ac:dyDescent="0.3">
      <c r="A97" t="s">
        <v>157</v>
      </c>
      <c r="B97" t="s">
        <v>169</v>
      </c>
      <c r="C97" t="s">
        <v>20</v>
      </c>
      <c r="D97" t="str">
        <f>VLOOKUP(ocurrencias[[#This Row],[Dir]],'Rosa 16'!$B$1:$G$17,4,FALSE)</f>
        <v>281,25° – 303,75°</v>
      </c>
      <c r="E97">
        <v>124</v>
      </c>
      <c r="F97" s="50">
        <v>2.1354032258064501</v>
      </c>
      <c r="G97" s="50">
        <v>21.194193548386998</v>
      </c>
      <c r="H97" s="50">
        <v>300.16935483870901</v>
      </c>
      <c r="I97" s="51">
        <f>ocurrencias[[#This Row],[conteo]]/ocurrencias[[#Totals],[conteo]]</f>
        <v>3.0982494890386932E-4</v>
      </c>
      <c r="J97" s="50">
        <f>365*ocurrencias[[#This Row],[conteo]]/ocurrencias[[#Totals],[conteo]]</f>
        <v>0.1130861063499123</v>
      </c>
      <c r="K97">
        <v>3.0982494890386899E-2</v>
      </c>
    </row>
    <row r="98" spans="1:11" x14ac:dyDescent="0.3">
      <c r="A98" t="s">
        <v>158</v>
      </c>
      <c r="B98" t="s">
        <v>168</v>
      </c>
      <c r="C98" t="s">
        <v>18</v>
      </c>
      <c r="D98" t="str">
        <f>VLOOKUP(ocurrencias[[#This Row],[Dir]],'Rosa 16'!$B$1:$G$17,4,FALSE)</f>
        <v>236,25° – 258,75°</v>
      </c>
      <c r="E98">
        <v>123</v>
      </c>
      <c r="F98" s="50">
        <v>2.67552845528455</v>
      </c>
      <c r="G98" s="50">
        <v>17.7973983739837</v>
      </c>
      <c r="H98" s="50">
        <v>245.34146341463401</v>
      </c>
      <c r="I98" s="51">
        <f>ocurrencias[[#This Row],[conteo]]/ocurrencias[[#Totals],[conteo]]</f>
        <v>3.0732636060625744E-4</v>
      </c>
      <c r="J98" s="50">
        <f>365*ocurrencias[[#This Row],[conteo]]/ocurrencias[[#Totals],[conteo]]</f>
        <v>0.11217412162128397</v>
      </c>
      <c r="K98" s="50">
        <v>3.07326360606257E-2</v>
      </c>
    </row>
    <row r="99" spans="1:11" x14ac:dyDescent="0.3">
      <c r="A99" t="s">
        <v>157</v>
      </c>
      <c r="B99" t="s">
        <v>166</v>
      </c>
      <c r="C99" t="s">
        <v>18</v>
      </c>
      <c r="D99" t="str">
        <f>VLOOKUP(ocurrencias[[#This Row],[Dir]],'Rosa 16'!$B$1:$G$17,4,FALSE)</f>
        <v>236,25° – 258,75°</v>
      </c>
      <c r="E99">
        <v>116</v>
      </c>
      <c r="F99" s="50">
        <v>2.1225862068965502</v>
      </c>
      <c r="G99" s="50">
        <v>13.4322413793103</v>
      </c>
      <c r="H99" s="50">
        <v>239.905172413793</v>
      </c>
      <c r="I99" s="51">
        <f>ocurrencias[[#This Row],[conteo]]/ocurrencias[[#Totals],[conteo]]</f>
        <v>2.8983624252297454E-4</v>
      </c>
      <c r="J99" s="50">
        <f>365*ocurrencias[[#This Row],[conteo]]/ocurrencias[[#Totals],[conteo]]</f>
        <v>0.1057902285208857</v>
      </c>
      <c r="K99" s="50">
        <v>2.8983624252297401E-2</v>
      </c>
    </row>
    <row r="100" spans="1:11" x14ac:dyDescent="0.3">
      <c r="A100" t="s">
        <v>155</v>
      </c>
      <c r="B100" t="s">
        <v>167</v>
      </c>
      <c r="C100" t="s">
        <v>74</v>
      </c>
      <c r="D100" t="str">
        <f>VLOOKUP(ocurrencias[[#This Row],[Dir]],'Rosa 16'!$B$1:$G$17,4,FALSE)</f>
        <v>303,75° – 326,25°</v>
      </c>
      <c r="E100">
        <v>91</v>
      </c>
      <c r="F100" s="50">
        <v>1.39956043956043</v>
      </c>
      <c r="G100" s="50">
        <v>16.013516483516401</v>
      </c>
      <c r="H100" s="50">
        <v>304.10989010988999</v>
      </c>
      <c r="I100" s="51">
        <f>ocurrencias[[#This Row],[conteo]]/ocurrencias[[#Totals],[conteo]]</f>
        <v>2.2737153508267828E-4</v>
      </c>
      <c r="J100" s="50">
        <f>365*ocurrencias[[#This Row],[conteo]]/ocurrencias[[#Totals],[conteo]]</f>
        <v>8.299061030517757E-2</v>
      </c>
      <c r="K100">
        <v>2.2737153508267799E-2</v>
      </c>
    </row>
    <row r="101" spans="1:11" x14ac:dyDescent="0.3">
      <c r="A101" t="s">
        <v>158</v>
      </c>
      <c r="B101" t="s">
        <v>167</v>
      </c>
      <c r="C101" t="s">
        <v>18</v>
      </c>
      <c r="D101" t="str">
        <f>VLOOKUP(ocurrencias[[#This Row],[Dir]],'Rosa 16'!$B$1:$G$17,4,FALSE)</f>
        <v>236,25° – 258,75°</v>
      </c>
      <c r="E101">
        <v>91</v>
      </c>
      <c r="F101" s="50">
        <v>2.64164835164835</v>
      </c>
      <c r="G101" s="50">
        <v>15.970329670329599</v>
      </c>
      <c r="H101" s="50">
        <v>242.49450549450501</v>
      </c>
      <c r="I101" s="51">
        <f>ocurrencias[[#This Row],[conteo]]/ocurrencias[[#Totals],[conteo]]</f>
        <v>2.2737153508267828E-4</v>
      </c>
      <c r="J101" s="50">
        <f>365*ocurrencias[[#This Row],[conteo]]/ocurrencias[[#Totals],[conteo]]</f>
        <v>8.299061030517757E-2</v>
      </c>
      <c r="K101">
        <v>2.2737153508267799E-2</v>
      </c>
    </row>
    <row r="102" spans="1:11" x14ac:dyDescent="0.3">
      <c r="A102" t="s">
        <v>155</v>
      </c>
      <c r="B102" t="s">
        <v>168</v>
      </c>
      <c r="C102" t="s">
        <v>16</v>
      </c>
      <c r="D102" t="str">
        <f>VLOOKUP(ocurrencias[[#This Row],[Dir]],'Rosa 16'!$B$1:$G$17,4,FALSE)</f>
        <v>191,25° – 213,75°</v>
      </c>
      <c r="E102">
        <v>89</v>
      </c>
      <c r="F102" s="50">
        <v>1.40325842696629</v>
      </c>
      <c r="G102" s="50">
        <v>17.889887640449398</v>
      </c>
      <c r="H102" s="50">
        <v>206.47191011235901</v>
      </c>
      <c r="I102" s="51">
        <f>ocurrencias[[#This Row],[conteo]]/ocurrencias[[#Totals],[conteo]]</f>
        <v>2.223743584874546E-4</v>
      </c>
      <c r="J102" s="50">
        <f>365*ocurrencias[[#This Row],[conteo]]/ocurrencias[[#Totals],[conteo]]</f>
        <v>8.1166640847920926E-2</v>
      </c>
      <c r="K102">
        <v>2.22374358487454E-2</v>
      </c>
    </row>
    <row r="103" spans="1:11" x14ac:dyDescent="0.3">
      <c r="A103" t="s">
        <v>154</v>
      </c>
      <c r="B103" t="s">
        <v>167</v>
      </c>
      <c r="C103" t="s">
        <v>15</v>
      </c>
      <c r="D103" t="str">
        <f>VLOOKUP(ocurrencias[[#This Row],[Dir]],'Rosa 16'!$B$1:$G$17,4,FALSE)</f>
        <v>168,75° – 191,25°</v>
      </c>
      <c r="E103">
        <v>81</v>
      </c>
      <c r="F103" s="50">
        <v>0.73469135802469099</v>
      </c>
      <c r="G103" s="50">
        <v>14.8695061728395</v>
      </c>
      <c r="H103" s="50">
        <v>173.71604938271599</v>
      </c>
      <c r="I103" s="51">
        <f>ocurrencias[[#This Row],[conteo]]/ocurrencias[[#Totals],[conteo]]</f>
        <v>2.023856521065598E-4</v>
      </c>
      <c r="J103" s="50">
        <f>365*ocurrencias[[#This Row],[conteo]]/ocurrencias[[#Totals],[conteo]]</f>
        <v>7.3870763018894323E-2</v>
      </c>
      <c r="K103">
        <v>2.0238565210655899E-2</v>
      </c>
    </row>
    <row r="104" spans="1:11" x14ac:dyDescent="0.3">
      <c r="A104" t="s">
        <v>155</v>
      </c>
      <c r="B104" t="s">
        <v>166</v>
      </c>
      <c r="C104" t="s">
        <v>20</v>
      </c>
      <c r="D104" t="str">
        <f>VLOOKUP(ocurrencias[[#This Row],[Dir]],'Rosa 16'!$B$1:$G$17,4,FALSE)</f>
        <v>281,25° – 303,75°</v>
      </c>
      <c r="E104">
        <v>72</v>
      </c>
      <c r="F104" s="50">
        <v>1.29986111111111</v>
      </c>
      <c r="G104" s="50">
        <v>13.3119444444444</v>
      </c>
      <c r="H104" s="50">
        <v>289.15277777777698</v>
      </c>
      <c r="I104" s="51">
        <f>ocurrencias[[#This Row],[conteo]]/ocurrencias[[#Totals],[conteo]]</f>
        <v>1.7989835742805314E-4</v>
      </c>
      <c r="J104" s="50">
        <f>365*ocurrencias[[#This Row],[conteo]]/ocurrencias[[#Totals],[conteo]]</f>
        <v>6.5662900461239404E-2</v>
      </c>
      <c r="K104" s="50">
        <v>1.7989835742805299E-2</v>
      </c>
    </row>
    <row r="105" spans="1:11" x14ac:dyDescent="0.3">
      <c r="A105" t="s">
        <v>156</v>
      </c>
      <c r="B105" t="s">
        <v>166</v>
      </c>
      <c r="C105" t="s">
        <v>19</v>
      </c>
      <c r="D105" t="str">
        <f>VLOOKUP(ocurrencias[[#This Row],[Dir]],'Rosa 16'!$B$1:$G$17,4,FALSE)</f>
        <v>258,75° – 281,25°</v>
      </c>
      <c r="E105">
        <v>71</v>
      </c>
      <c r="F105" s="50">
        <v>1.73830985915492</v>
      </c>
      <c r="G105" s="50">
        <v>13.5249295774647</v>
      </c>
      <c r="H105" s="50">
        <v>267.211267605633</v>
      </c>
      <c r="I105" s="51">
        <f>ocurrencias[[#This Row],[conteo]]/ocurrencias[[#Totals],[conteo]]</f>
        <v>1.7739976913044129E-4</v>
      </c>
      <c r="J105" s="50">
        <f>365*ocurrencias[[#This Row],[conteo]]/ocurrencias[[#Totals],[conteo]]</f>
        <v>6.4750915732611075E-2</v>
      </c>
      <c r="K105">
        <v>1.77399769130441E-2</v>
      </c>
    </row>
    <row r="106" spans="1:11" x14ac:dyDescent="0.3">
      <c r="A106" t="s">
        <v>159</v>
      </c>
      <c r="B106" t="s">
        <v>167</v>
      </c>
      <c r="C106" t="s">
        <v>15</v>
      </c>
      <c r="D106" t="str">
        <f>VLOOKUP(ocurrencias[[#This Row],[Dir]],'Rosa 16'!$B$1:$G$17,4,FALSE)</f>
        <v>168,75° – 191,25°</v>
      </c>
      <c r="E106">
        <v>70</v>
      </c>
      <c r="F106" s="50">
        <v>3.2188571428571402</v>
      </c>
      <c r="G106" s="50">
        <v>15.296999999999899</v>
      </c>
      <c r="H106" s="50">
        <v>188.92857142857099</v>
      </c>
      <c r="I106" s="51">
        <f>ocurrencias[[#This Row],[conteo]]/ocurrencias[[#Totals],[conteo]]</f>
        <v>1.7490118083282946E-4</v>
      </c>
      <c r="J106" s="50">
        <f>365*ocurrencias[[#This Row],[conteo]]/ocurrencias[[#Totals],[conteo]]</f>
        <v>6.3838931003982746E-2</v>
      </c>
      <c r="K106" s="50">
        <v>1.74901180832829E-2</v>
      </c>
    </row>
    <row r="107" spans="1:11" x14ac:dyDescent="0.3">
      <c r="A107" t="s">
        <v>154</v>
      </c>
      <c r="B107" t="s">
        <v>165</v>
      </c>
      <c r="C107" t="s">
        <v>15</v>
      </c>
      <c r="D107" t="str">
        <f>VLOOKUP(ocurrencias[[#This Row],[Dir]],'Rosa 16'!$B$1:$G$17,4,FALSE)</f>
        <v>168,75° – 191,25°</v>
      </c>
      <c r="E107">
        <v>69</v>
      </c>
      <c r="F107" s="50">
        <v>0.88260869565217304</v>
      </c>
      <c r="G107" s="50">
        <v>8.4540579710144907</v>
      </c>
      <c r="H107" s="50">
        <v>173.78260869565199</v>
      </c>
      <c r="I107" s="51">
        <f>ocurrencias[[#This Row],[conteo]]/ocurrencias[[#Totals],[conteo]]</f>
        <v>1.7240259253521761E-4</v>
      </c>
      <c r="J107" s="50">
        <f>365*ocurrencias[[#This Row],[conteo]]/ocurrencias[[#Totals],[conteo]]</f>
        <v>6.2926946275354431E-2</v>
      </c>
      <c r="K107">
        <v>1.7240259253521701E-2</v>
      </c>
    </row>
    <row r="108" spans="1:11" x14ac:dyDescent="0.3">
      <c r="A108" t="s">
        <v>155</v>
      </c>
      <c r="B108" t="s">
        <v>168</v>
      </c>
      <c r="C108" t="s">
        <v>18</v>
      </c>
      <c r="D108" t="str">
        <f>VLOOKUP(ocurrencias[[#This Row],[Dir]],'Rosa 16'!$B$1:$G$17,4,FALSE)</f>
        <v>236,25° – 258,75°</v>
      </c>
      <c r="E108">
        <v>69</v>
      </c>
      <c r="F108" s="50">
        <v>1.39971014492753</v>
      </c>
      <c r="G108" s="50">
        <v>18.047101449275299</v>
      </c>
      <c r="H108" s="50">
        <v>242.608695652173</v>
      </c>
      <c r="I108" s="51">
        <f>ocurrencias[[#This Row],[conteo]]/ocurrencias[[#Totals],[conteo]]</f>
        <v>1.7240259253521761E-4</v>
      </c>
      <c r="J108" s="50">
        <f>365*ocurrencias[[#This Row],[conteo]]/ocurrencias[[#Totals],[conteo]]</f>
        <v>6.2926946275354431E-2</v>
      </c>
      <c r="K108">
        <v>1.7240259253521701E-2</v>
      </c>
    </row>
    <row r="109" spans="1:11" x14ac:dyDescent="0.3">
      <c r="A109" t="s">
        <v>158</v>
      </c>
      <c r="B109" t="s">
        <v>168</v>
      </c>
      <c r="C109" t="s">
        <v>20</v>
      </c>
      <c r="D109" t="str">
        <f>VLOOKUP(ocurrencias[[#This Row],[Dir]],'Rosa 16'!$B$1:$G$17,4,FALSE)</f>
        <v>281,25° – 303,75°</v>
      </c>
      <c r="E109">
        <v>67</v>
      </c>
      <c r="F109" s="50">
        <v>2.67626865671641</v>
      </c>
      <c r="G109" s="50">
        <v>18.712238805970099</v>
      </c>
      <c r="H109" s="50">
        <v>296.58208955223802</v>
      </c>
      <c r="I109" s="51">
        <f>ocurrencias[[#This Row],[conteo]]/ocurrencias[[#Totals],[conteo]]</f>
        <v>1.674054159399939E-4</v>
      </c>
      <c r="J109" s="50">
        <f>365*ocurrencias[[#This Row],[conteo]]/ocurrencias[[#Totals],[conteo]]</f>
        <v>6.1102976818097773E-2</v>
      </c>
      <c r="K109">
        <v>1.6740541593999299E-2</v>
      </c>
    </row>
    <row r="110" spans="1:11" x14ac:dyDescent="0.3">
      <c r="A110" t="s">
        <v>162</v>
      </c>
      <c r="B110" t="s">
        <v>168</v>
      </c>
      <c r="C110" t="s">
        <v>16</v>
      </c>
      <c r="D110" t="str">
        <f>VLOOKUP(ocurrencias[[#This Row],[Dir]],'Rosa 16'!$B$1:$G$17,4,FALSE)</f>
        <v>191,25° – 213,75°</v>
      </c>
      <c r="E110">
        <v>67</v>
      </c>
      <c r="F110" s="50">
        <v>4.62194029850746</v>
      </c>
      <c r="G110" s="50">
        <v>17.769850746268599</v>
      </c>
      <c r="H110" s="50">
        <v>206.98507462686501</v>
      </c>
      <c r="I110" s="51">
        <f>ocurrencias[[#This Row],[conteo]]/ocurrencias[[#Totals],[conteo]]</f>
        <v>1.674054159399939E-4</v>
      </c>
      <c r="J110" s="50">
        <f>365*ocurrencias[[#This Row],[conteo]]/ocurrencias[[#Totals],[conteo]]</f>
        <v>6.1102976818097773E-2</v>
      </c>
      <c r="K110">
        <v>1.6740541593999299E-2</v>
      </c>
    </row>
    <row r="111" spans="1:11" x14ac:dyDescent="0.3">
      <c r="A111" t="s">
        <v>161</v>
      </c>
      <c r="B111" t="s">
        <v>168</v>
      </c>
      <c r="C111" t="s">
        <v>17</v>
      </c>
      <c r="D111" t="str">
        <f>VLOOKUP(ocurrencias[[#This Row],[Dir]],'Rosa 16'!$B$1:$G$17,4,FALSE)</f>
        <v>213,75° – 236,25°</v>
      </c>
      <c r="E111">
        <v>66</v>
      </c>
      <c r="F111" s="50">
        <v>4.1860606060606003</v>
      </c>
      <c r="G111" s="50">
        <v>18.646060606060601</v>
      </c>
      <c r="H111" s="50">
        <v>216.166666666666</v>
      </c>
      <c r="I111" s="51">
        <f>ocurrencias[[#This Row],[conteo]]/ocurrencias[[#Totals],[conteo]]</f>
        <v>1.6490682764238205E-4</v>
      </c>
      <c r="J111" s="50">
        <f>365*ocurrencias[[#This Row],[conteo]]/ocurrencias[[#Totals],[conteo]]</f>
        <v>6.0190992089469451E-2</v>
      </c>
      <c r="K111" s="50">
        <v>1.64906827642382E-2</v>
      </c>
    </row>
    <row r="112" spans="1:11" x14ac:dyDescent="0.3">
      <c r="A112" t="s">
        <v>161</v>
      </c>
      <c r="B112" t="s">
        <v>165</v>
      </c>
      <c r="C112" t="s">
        <v>15</v>
      </c>
      <c r="D112" t="str">
        <f>VLOOKUP(ocurrencias[[#This Row],[Dir]],'Rosa 16'!$B$1:$G$17,4,FALSE)</f>
        <v>168,75° – 191,25°</v>
      </c>
      <c r="E112">
        <v>64</v>
      </c>
      <c r="F112">
        <v>4.1490625000000003</v>
      </c>
      <c r="G112">
        <v>9.7995312499999994</v>
      </c>
      <c r="H112">
        <v>179.890625</v>
      </c>
      <c r="I112" s="51">
        <f>ocurrencias[[#This Row],[conteo]]/ocurrencias[[#Totals],[conteo]]</f>
        <v>1.5990965104715837E-4</v>
      </c>
      <c r="J112" s="50">
        <f>365*ocurrencias[[#This Row],[conteo]]/ocurrencias[[#Totals],[conteo]]</f>
        <v>5.8367022632212801E-2</v>
      </c>
      <c r="K112" s="50">
        <v>1.5990965104715801E-2</v>
      </c>
    </row>
    <row r="113" spans="1:11" x14ac:dyDescent="0.3">
      <c r="A113" t="s">
        <v>159</v>
      </c>
      <c r="B113" t="s">
        <v>169</v>
      </c>
      <c r="C113" t="s">
        <v>17</v>
      </c>
      <c r="D113" t="str">
        <f>VLOOKUP(ocurrencias[[#This Row],[Dir]],'Rosa 16'!$B$1:$G$17,4,FALSE)</f>
        <v>213,75° – 236,25°</v>
      </c>
      <c r="E113">
        <v>58</v>
      </c>
      <c r="F113" s="50">
        <v>3.2091379310344799</v>
      </c>
      <c r="G113" s="50">
        <v>21.1324137931034</v>
      </c>
      <c r="H113" s="50">
        <v>217.896551724137</v>
      </c>
      <c r="I113" s="51">
        <f>ocurrencias[[#This Row],[conteo]]/ocurrencias[[#Totals],[conteo]]</f>
        <v>1.4491812126148727E-4</v>
      </c>
      <c r="J113" s="50">
        <f>365*ocurrencias[[#This Row],[conteo]]/ocurrencias[[#Totals],[conteo]]</f>
        <v>5.2895114260442848E-2</v>
      </c>
      <c r="K113" s="50">
        <v>1.4491812126148701E-2</v>
      </c>
    </row>
    <row r="114" spans="1:11" x14ac:dyDescent="0.3">
      <c r="A114" t="s">
        <v>155</v>
      </c>
      <c r="B114" t="s">
        <v>169</v>
      </c>
      <c r="C114" t="s">
        <v>20</v>
      </c>
      <c r="D114" t="str">
        <f>VLOOKUP(ocurrencias[[#This Row],[Dir]],'Rosa 16'!$B$1:$G$17,4,FALSE)</f>
        <v>281,25° – 303,75°</v>
      </c>
      <c r="E114">
        <v>57</v>
      </c>
      <c r="F114" s="50">
        <v>1.4092982456140299</v>
      </c>
      <c r="G114" s="50">
        <v>21.252807017543802</v>
      </c>
      <c r="H114" s="50">
        <v>302.21052631578902</v>
      </c>
      <c r="I114" s="51">
        <f>ocurrencias[[#This Row],[conteo]]/ocurrencias[[#Totals],[conteo]]</f>
        <v>1.4241953296387542E-4</v>
      </c>
      <c r="J114" s="50">
        <f>365*ocurrencias[[#This Row],[conteo]]/ocurrencias[[#Totals],[conteo]]</f>
        <v>5.1983129531814526E-2</v>
      </c>
      <c r="K114" s="50">
        <v>1.42419532963875E-2</v>
      </c>
    </row>
    <row r="115" spans="1:11" x14ac:dyDescent="0.3">
      <c r="A115" t="s">
        <v>154</v>
      </c>
      <c r="B115" t="s">
        <v>166</v>
      </c>
      <c r="C115" t="s">
        <v>14</v>
      </c>
      <c r="D115" t="str">
        <f>VLOOKUP(ocurrencias[[#This Row],[Dir]],'Rosa 16'!$B$1:$G$17,4,FALSE)</f>
        <v>146,25° – 168,75°</v>
      </c>
      <c r="E115">
        <v>54</v>
      </c>
      <c r="F115">
        <v>0.682037037037037</v>
      </c>
      <c r="G115" s="50">
        <v>13.2901851851851</v>
      </c>
      <c r="H115" s="50">
        <v>162.962962962962</v>
      </c>
      <c r="I115" s="51">
        <f>ocurrencias[[#This Row],[conteo]]/ocurrencias[[#Totals],[conteo]]</f>
        <v>1.3492376807103986E-4</v>
      </c>
      <c r="J115" s="50">
        <f>365*ocurrencias[[#This Row],[conteo]]/ocurrencias[[#Totals],[conteo]]</f>
        <v>4.9247175345929553E-2</v>
      </c>
      <c r="K115" s="50">
        <v>1.34923768071039E-2</v>
      </c>
    </row>
    <row r="116" spans="1:11" x14ac:dyDescent="0.3">
      <c r="A116" t="s">
        <v>154</v>
      </c>
      <c r="B116" t="s">
        <v>164</v>
      </c>
      <c r="C116" t="s">
        <v>15</v>
      </c>
      <c r="D116" t="str">
        <f>VLOOKUP(ocurrencias[[#This Row],[Dir]],'Rosa 16'!$B$1:$G$17,4,FALSE)</f>
        <v>168,75° – 191,25°</v>
      </c>
      <c r="E116">
        <v>53</v>
      </c>
      <c r="F116">
        <v>0.71056603773584903</v>
      </c>
      <c r="G116" s="50">
        <v>5.5477358490566004</v>
      </c>
      <c r="H116" s="50">
        <v>179.79245283018801</v>
      </c>
      <c r="I116" s="51">
        <f>ocurrencias[[#This Row],[conteo]]/ocurrencias[[#Totals],[conteo]]</f>
        <v>1.32425179773428E-4</v>
      </c>
      <c r="J116" s="50">
        <f>365*ocurrencias[[#This Row],[conteo]]/ocurrencias[[#Totals],[conteo]]</f>
        <v>4.8335190617301224E-2</v>
      </c>
      <c r="K116" s="50">
        <v>1.3242517977342799E-2</v>
      </c>
    </row>
    <row r="117" spans="1:11" x14ac:dyDescent="0.3">
      <c r="A117" t="s">
        <v>155</v>
      </c>
      <c r="B117" t="s">
        <v>166</v>
      </c>
      <c r="C117" t="s">
        <v>15</v>
      </c>
      <c r="D117" t="str">
        <f>VLOOKUP(ocurrencias[[#This Row],[Dir]],'Rosa 16'!$B$1:$G$17,4,FALSE)</f>
        <v>168,75° – 191,25°</v>
      </c>
      <c r="E117">
        <v>53</v>
      </c>
      <c r="F117" s="50">
        <v>1.3826415094339599</v>
      </c>
      <c r="G117" s="50">
        <v>12.9045283018867</v>
      </c>
      <c r="H117" s="50">
        <v>183.84905660377299</v>
      </c>
      <c r="I117" s="51">
        <f>ocurrencias[[#This Row],[conteo]]/ocurrencias[[#Totals],[conteo]]</f>
        <v>1.32425179773428E-4</v>
      </c>
      <c r="J117" s="50">
        <f>365*ocurrencias[[#This Row],[conteo]]/ocurrencias[[#Totals],[conteo]]</f>
        <v>4.8335190617301224E-2</v>
      </c>
      <c r="K117" s="50">
        <v>1.3242517977342799E-2</v>
      </c>
    </row>
    <row r="118" spans="1:11" x14ac:dyDescent="0.3">
      <c r="A118" t="s">
        <v>156</v>
      </c>
      <c r="B118" t="s">
        <v>164</v>
      </c>
      <c r="C118" t="s">
        <v>16</v>
      </c>
      <c r="D118" t="str">
        <f>VLOOKUP(ocurrencias[[#This Row],[Dir]],'Rosa 16'!$B$1:$G$17,4,FALSE)</f>
        <v>191,25° – 213,75°</v>
      </c>
      <c r="E118">
        <v>50</v>
      </c>
      <c r="F118">
        <v>1.7922</v>
      </c>
      <c r="G118">
        <v>5.9412000000000003</v>
      </c>
      <c r="H118">
        <v>205.04</v>
      </c>
      <c r="I118" s="51">
        <f>ocurrencias[[#This Row],[conteo]]/ocurrencias[[#Totals],[conteo]]</f>
        <v>1.2492941488059247E-4</v>
      </c>
      <c r="J118" s="50">
        <f>365*ocurrencias[[#This Row],[conteo]]/ocurrencias[[#Totals],[conteo]]</f>
        <v>4.5599236431416251E-2</v>
      </c>
      <c r="K118" s="50">
        <v>1.2492941488059199E-2</v>
      </c>
    </row>
    <row r="119" spans="1:11" x14ac:dyDescent="0.3">
      <c r="A119" t="s">
        <v>156</v>
      </c>
      <c r="B119" t="s">
        <v>170</v>
      </c>
      <c r="C119" t="s">
        <v>20</v>
      </c>
      <c r="D119" t="str">
        <f>VLOOKUP(ocurrencias[[#This Row],[Dir]],'Rosa 16'!$B$1:$G$17,4,FALSE)</f>
        <v>281,25° – 303,75°</v>
      </c>
      <c r="E119">
        <v>43</v>
      </c>
      <c r="F119" s="50">
        <v>1.7265116279069701</v>
      </c>
      <c r="G119" s="50">
        <v>23.541395348837199</v>
      </c>
      <c r="H119" s="50">
        <v>302.69767441860398</v>
      </c>
      <c r="I119" s="51">
        <f>ocurrencias[[#This Row],[conteo]]/ocurrencias[[#Totals],[conteo]]</f>
        <v>1.0743929679730952E-4</v>
      </c>
      <c r="J119" s="50">
        <f>365*ocurrencias[[#This Row],[conteo]]/ocurrencias[[#Totals],[conteo]]</f>
        <v>3.9215343331017977E-2</v>
      </c>
      <c r="K119" s="50">
        <v>1.0743929679730899E-2</v>
      </c>
    </row>
    <row r="120" spans="1:11" x14ac:dyDescent="0.3">
      <c r="A120" t="s">
        <v>160</v>
      </c>
      <c r="B120" t="s">
        <v>169</v>
      </c>
      <c r="C120" t="s">
        <v>16</v>
      </c>
      <c r="D120" t="str">
        <f>VLOOKUP(ocurrencias[[#This Row],[Dir]],'Rosa 16'!$B$1:$G$17,4,FALSE)</f>
        <v>191,25° – 213,75°</v>
      </c>
      <c r="E120">
        <v>42</v>
      </c>
      <c r="F120" s="50">
        <v>3.7145238095237998</v>
      </c>
      <c r="G120" s="50">
        <v>20.827619047618999</v>
      </c>
      <c r="H120" s="50">
        <v>206.07142857142799</v>
      </c>
      <c r="I120" s="51">
        <f>ocurrencias[[#This Row],[conteo]]/ocurrencias[[#Totals],[conteo]]</f>
        <v>1.0494070849969767E-4</v>
      </c>
      <c r="J120" s="50">
        <f>365*ocurrencias[[#This Row],[conteo]]/ocurrencias[[#Totals],[conteo]]</f>
        <v>3.8303358602389648E-2</v>
      </c>
      <c r="K120" s="50">
        <v>1.04940708499697E-2</v>
      </c>
    </row>
    <row r="121" spans="1:11" x14ac:dyDescent="0.3">
      <c r="A121" t="s">
        <v>159</v>
      </c>
      <c r="B121" t="s">
        <v>168</v>
      </c>
      <c r="C121" t="s">
        <v>18</v>
      </c>
      <c r="D121" t="str">
        <f>VLOOKUP(ocurrencias[[#This Row],[Dir]],'Rosa 16'!$B$1:$G$17,4,FALSE)</f>
        <v>236,25° – 258,75°</v>
      </c>
      <c r="E121">
        <v>39</v>
      </c>
      <c r="F121" s="50">
        <v>3.1748717948717902</v>
      </c>
      <c r="G121" s="50">
        <v>18.035128205128199</v>
      </c>
      <c r="H121" s="50">
        <v>239.74358974358901</v>
      </c>
      <c r="I121" s="51">
        <f>ocurrencias[[#This Row],[conteo]]/ocurrencias[[#Totals],[conteo]]</f>
        <v>9.7444943606862119E-5</v>
      </c>
      <c r="J121" s="50">
        <f>365*ocurrencias[[#This Row],[conteo]]/ocurrencias[[#Totals],[conteo]]</f>
        <v>3.5567404416504675E-2</v>
      </c>
      <c r="K121">
        <v>9.7444943606862094E-3</v>
      </c>
    </row>
    <row r="122" spans="1:11" x14ac:dyDescent="0.3">
      <c r="A122" t="s">
        <v>156</v>
      </c>
      <c r="B122" t="s">
        <v>170</v>
      </c>
      <c r="C122" t="s">
        <v>17</v>
      </c>
      <c r="D122" t="str">
        <f>VLOOKUP(ocurrencias[[#This Row],[Dir]],'Rosa 16'!$B$1:$G$17,4,FALSE)</f>
        <v>213,75° – 236,25°</v>
      </c>
      <c r="E122">
        <v>38</v>
      </c>
      <c r="F122" s="50">
        <v>1.74921052631578</v>
      </c>
      <c r="G122" s="50">
        <v>23.477105263157799</v>
      </c>
      <c r="H122" s="50">
        <v>217.657894736842</v>
      </c>
      <c r="I122" s="51">
        <f>ocurrencias[[#This Row],[conteo]]/ocurrencias[[#Totals],[conteo]]</f>
        <v>9.4946355309250279E-5</v>
      </c>
      <c r="J122" s="50">
        <f>365*ocurrencias[[#This Row],[conteo]]/ocurrencias[[#Totals],[conteo]]</f>
        <v>3.4655419687876353E-2</v>
      </c>
      <c r="K122">
        <v>9.4946355309250205E-3</v>
      </c>
    </row>
    <row r="123" spans="1:11" x14ac:dyDescent="0.3">
      <c r="A123" t="s">
        <v>158</v>
      </c>
      <c r="B123" t="s">
        <v>168</v>
      </c>
      <c r="C123" t="s">
        <v>19</v>
      </c>
      <c r="D123" t="str">
        <f>VLOOKUP(ocurrencias[[#This Row],[Dir]],'Rosa 16'!$B$1:$G$17,4,FALSE)</f>
        <v>258,75° – 281,25°</v>
      </c>
      <c r="E123">
        <v>38</v>
      </c>
      <c r="F123" s="50">
        <v>2.6742105263157798</v>
      </c>
      <c r="G123" s="50">
        <v>17.921842105263099</v>
      </c>
      <c r="H123" s="50">
        <v>267.605263157894</v>
      </c>
      <c r="I123" s="51">
        <f>ocurrencias[[#This Row],[conteo]]/ocurrencias[[#Totals],[conteo]]</f>
        <v>9.4946355309250279E-5</v>
      </c>
      <c r="J123" s="50">
        <f>365*ocurrencias[[#This Row],[conteo]]/ocurrencias[[#Totals],[conteo]]</f>
        <v>3.4655419687876353E-2</v>
      </c>
      <c r="K123">
        <v>9.4946355309250205E-3</v>
      </c>
    </row>
    <row r="124" spans="1:11" x14ac:dyDescent="0.3">
      <c r="A124" t="s">
        <v>155</v>
      </c>
      <c r="B124" t="s">
        <v>168</v>
      </c>
      <c r="C124" t="s">
        <v>14</v>
      </c>
      <c r="D124" t="str">
        <f>VLOOKUP(ocurrencias[[#This Row],[Dir]],'Rosa 16'!$B$1:$G$17,4,FALSE)</f>
        <v>146,25° – 168,75°</v>
      </c>
      <c r="E124">
        <v>36</v>
      </c>
      <c r="F124" s="50">
        <v>1.2988888888888801</v>
      </c>
      <c r="G124" s="50">
        <v>17.845555555555499</v>
      </c>
      <c r="H124" s="50">
        <v>161.777777777777</v>
      </c>
      <c r="I124" s="51">
        <f>ocurrencias[[#This Row],[conteo]]/ocurrencias[[#Totals],[conteo]]</f>
        <v>8.9949178714026571E-5</v>
      </c>
      <c r="J124" s="50">
        <f>365*ocurrencias[[#This Row],[conteo]]/ocurrencias[[#Totals],[conteo]]</f>
        <v>3.2831450230619702E-2</v>
      </c>
      <c r="K124">
        <v>8.9949178714026495E-3</v>
      </c>
    </row>
    <row r="125" spans="1:11" x14ac:dyDescent="0.3">
      <c r="A125" t="s">
        <v>155</v>
      </c>
      <c r="B125" t="s">
        <v>168</v>
      </c>
      <c r="C125" t="s">
        <v>15</v>
      </c>
      <c r="D125" t="str">
        <f>VLOOKUP(ocurrencias[[#This Row],[Dir]],'Rosa 16'!$B$1:$G$17,4,FALSE)</f>
        <v>168,75° – 191,25°</v>
      </c>
      <c r="E125">
        <v>35</v>
      </c>
      <c r="F125" s="50">
        <v>1.3471428571428501</v>
      </c>
      <c r="G125" s="50">
        <v>17.947999999999901</v>
      </c>
      <c r="H125" s="50">
        <v>182.71428571428501</v>
      </c>
      <c r="I125" s="51">
        <f>ocurrencias[[#This Row],[conteo]]/ocurrencias[[#Totals],[conteo]]</f>
        <v>8.7450590416414731E-5</v>
      </c>
      <c r="J125" s="50">
        <f>365*ocurrencias[[#This Row],[conteo]]/ocurrencias[[#Totals],[conteo]]</f>
        <v>3.1919465501991373E-2</v>
      </c>
      <c r="K125">
        <v>8.7450590416414693E-3</v>
      </c>
    </row>
    <row r="126" spans="1:11" x14ac:dyDescent="0.3">
      <c r="A126" t="s">
        <v>154</v>
      </c>
      <c r="B126" t="s">
        <v>166</v>
      </c>
      <c r="C126" t="s">
        <v>15</v>
      </c>
      <c r="D126" t="str">
        <f>VLOOKUP(ocurrencias[[#This Row],[Dir]],'Rosa 16'!$B$1:$G$17,4,FALSE)</f>
        <v>168,75° – 191,25°</v>
      </c>
      <c r="E126">
        <v>34</v>
      </c>
      <c r="F126" s="50">
        <v>0.70529411764705796</v>
      </c>
      <c r="G126" s="50">
        <v>13.484117647058801</v>
      </c>
      <c r="H126" s="50">
        <v>172.26470588235199</v>
      </c>
      <c r="I126" s="51">
        <f>ocurrencias[[#This Row],[conteo]]/ocurrencias[[#Totals],[conteo]]</f>
        <v>8.4952002118802877E-5</v>
      </c>
      <c r="J126" s="50">
        <f>365*ocurrencias[[#This Row],[conteo]]/ocurrencias[[#Totals],[conteo]]</f>
        <v>3.1007480773363051E-2</v>
      </c>
      <c r="K126">
        <v>8.4952002118802803E-3</v>
      </c>
    </row>
    <row r="127" spans="1:11" x14ac:dyDescent="0.3">
      <c r="A127" t="s">
        <v>157</v>
      </c>
      <c r="B127" t="s">
        <v>164</v>
      </c>
      <c r="C127" t="s">
        <v>16</v>
      </c>
      <c r="D127" t="str">
        <f>VLOOKUP(ocurrencias[[#This Row],[Dir]],'Rosa 16'!$B$1:$G$17,4,FALSE)</f>
        <v>191,25° – 213,75°</v>
      </c>
      <c r="E127">
        <v>34</v>
      </c>
      <c r="F127" s="50">
        <v>2.1520588235294098</v>
      </c>
      <c r="G127" s="50">
        <v>5.5541176470588196</v>
      </c>
      <c r="H127" s="50">
        <v>208.85294117647001</v>
      </c>
      <c r="I127" s="51">
        <f>ocurrencias[[#This Row],[conteo]]/ocurrencias[[#Totals],[conteo]]</f>
        <v>8.4952002118802877E-5</v>
      </c>
      <c r="J127" s="50">
        <f>365*ocurrencias[[#This Row],[conteo]]/ocurrencias[[#Totals],[conteo]]</f>
        <v>3.1007480773363051E-2</v>
      </c>
      <c r="K127">
        <v>8.4952002118802803E-3</v>
      </c>
    </row>
    <row r="128" spans="1:11" x14ac:dyDescent="0.3">
      <c r="A128" t="s">
        <v>159</v>
      </c>
      <c r="B128" t="s">
        <v>165</v>
      </c>
      <c r="C128" t="s">
        <v>16</v>
      </c>
      <c r="D128" t="str">
        <f>VLOOKUP(ocurrencias[[#This Row],[Dir]],'Rosa 16'!$B$1:$G$17,4,FALSE)</f>
        <v>191,25° – 213,75°</v>
      </c>
      <c r="E128">
        <v>34</v>
      </c>
      <c r="F128" s="50">
        <v>3.2314705882352901</v>
      </c>
      <c r="G128">
        <v>9.9247058823529404</v>
      </c>
      <c r="H128" s="50">
        <v>194.617647058823</v>
      </c>
      <c r="I128" s="51">
        <f>ocurrencias[[#This Row],[conteo]]/ocurrencias[[#Totals],[conteo]]</f>
        <v>8.4952002118802877E-5</v>
      </c>
      <c r="J128" s="50">
        <f>365*ocurrencias[[#This Row],[conteo]]/ocurrencias[[#Totals],[conteo]]</f>
        <v>3.1007480773363051E-2</v>
      </c>
      <c r="K128">
        <v>8.4952002118802803E-3</v>
      </c>
    </row>
    <row r="129" spans="1:11" x14ac:dyDescent="0.3">
      <c r="A129" t="s">
        <v>162</v>
      </c>
      <c r="B129" t="s">
        <v>167</v>
      </c>
      <c r="C129" t="s">
        <v>16</v>
      </c>
      <c r="D129" t="str">
        <f>VLOOKUP(ocurrencias[[#This Row],[Dir]],'Rosa 16'!$B$1:$G$17,4,FALSE)</f>
        <v>191,25° – 213,75°</v>
      </c>
      <c r="E129">
        <v>33</v>
      </c>
      <c r="F129" s="50">
        <v>4.6478787878787804</v>
      </c>
      <c r="G129" s="50">
        <v>15.6454545454545</v>
      </c>
      <c r="H129" s="50">
        <v>201.06060606060601</v>
      </c>
      <c r="I129" s="51">
        <f>ocurrencias[[#This Row],[conteo]]/ocurrencias[[#Totals],[conteo]]</f>
        <v>8.2453413821191024E-5</v>
      </c>
      <c r="J129" s="50">
        <f>365*ocurrencias[[#This Row],[conteo]]/ocurrencias[[#Totals],[conteo]]</f>
        <v>3.0095496044734726E-2</v>
      </c>
      <c r="K129">
        <v>8.2453413821191E-3</v>
      </c>
    </row>
    <row r="130" spans="1:11" x14ac:dyDescent="0.3">
      <c r="A130" t="s">
        <v>155</v>
      </c>
      <c r="B130" t="s">
        <v>169</v>
      </c>
      <c r="C130" t="s">
        <v>17</v>
      </c>
      <c r="D130" t="str">
        <f>VLOOKUP(ocurrencias[[#This Row],[Dir]],'Rosa 16'!$B$1:$G$17,4,FALSE)</f>
        <v>213,75° – 236,25°</v>
      </c>
      <c r="E130">
        <v>31</v>
      </c>
      <c r="F130" s="50">
        <v>1.36645161290322</v>
      </c>
      <c r="G130" s="50">
        <v>21.181612903225801</v>
      </c>
      <c r="H130" s="50">
        <v>220.67741935483801</v>
      </c>
      <c r="I130" s="51">
        <f>ocurrencias[[#This Row],[conteo]]/ocurrencias[[#Totals],[conteo]]</f>
        <v>7.745623722596733E-5</v>
      </c>
      <c r="J130" s="50">
        <f>365*ocurrencias[[#This Row],[conteo]]/ocurrencias[[#Totals],[conteo]]</f>
        <v>2.8271526587478075E-2</v>
      </c>
      <c r="K130">
        <v>7.7456237225967299E-3</v>
      </c>
    </row>
    <row r="131" spans="1:11" x14ac:dyDescent="0.3">
      <c r="A131" t="s">
        <v>155</v>
      </c>
      <c r="B131" t="s">
        <v>169</v>
      </c>
      <c r="C131" t="s">
        <v>74</v>
      </c>
      <c r="D131" t="str">
        <f>VLOOKUP(ocurrencias[[#This Row],[Dir]],'Rosa 16'!$B$1:$G$17,4,FALSE)</f>
        <v>303,75° – 326,25°</v>
      </c>
      <c r="E131">
        <v>31</v>
      </c>
      <c r="F131" s="50">
        <v>1.44290322580645</v>
      </c>
      <c r="G131" s="50">
        <v>21.125806451612899</v>
      </c>
      <c r="H131" s="50">
        <v>304.41935483870901</v>
      </c>
      <c r="I131" s="51">
        <f>ocurrencias[[#This Row],[conteo]]/ocurrencias[[#Totals],[conteo]]</f>
        <v>7.745623722596733E-5</v>
      </c>
      <c r="J131" s="50">
        <f>365*ocurrencias[[#This Row],[conteo]]/ocurrencias[[#Totals],[conteo]]</f>
        <v>2.8271526587478075E-2</v>
      </c>
      <c r="K131">
        <v>7.7456237225967299E-3</v>
      </c>
    </row>
    <row r="132" spans="1:11" x14ac:dyDescent="0.3">
      <c r="A132" t="s">
        <v>158</v>
      </c>
      <c r="B132" t="s">
        <v>170</v>
      </c>
      <c r="C132" t="s">
        <v>17</v>
      </c>
      <c r="D132" t="str">
        <f>VLOOKUP(ocurrencias[[#This Row],[Dir]],'Rosa 16'!$B$1:$G$17,4,FALSE)</f>
        <v>213,75° – 236,25°</v>
      </c>
      <c r="E132">
        <v>30</v>
      </c>
      <c r="F132" s="50">
        <v>2.6373333333333302</v>
      </c>
      <c r="G132" s="50">
        <v>24.057666666666599</v>
      </c>
      <c r="H132">
        <v>218.6</v>
      </c>
      <c r="I132" s="51">
        <f>ocurrencias[[#This Row],[conteo]]/ocurrencias[[#Totals],[conteo]]</f>
        <v>7.4957648928355476E-5</v>
      </c>
      <c r="J132" s="50">
        <f>365*ocurrencias[[#This Row],[conteo]]/ocurrencias[[#Totals],[conteo]]</f>
        <v>2.7359541858849749E-2</v>
      </c>
      <c r="K132">
        <v>7.4957648928355401E-3</v>
      </c>
    </row>
    <row r="133" spans="1:11" x14ac:dyDescent="0.3">
      <c r="A133" t="s">
        <v>156</v>
      </c>
      <c r="B133" t="s">
        <v>170</v>
      </c>
      <c r="C133" t="s">
        <v>74</v>
      </c>
      <c r="D133" t="str">
        <f>VLOOKUP(ocurrencias[[#This Row],[Dir]],'Rosa 16'!$B$1:$G$17,4,FALSE)</f>
        <v>303,75° – 326,25°</v>
      </c>
      <c r="E133">
        <v>29</v>
      </c>
      <c r="F133" s="50">
        <v>1.8431034482758599</v>
      </c>
      <c r="G133" s="50">
        <v>23.5444827586206</v>
      </c>
      <c r="H133">
        <v>304</v>
      </c>
      <c r="I133" s="51">
        <f>ocurrencias[[#This Row],[conteo]]/ocurrencias[[#Totals],[conteo]]</f>
        <v>7.2459060630743636E-5</v>
      </c>
      <c r="J133" s="50">
        <f>365*ocurrencias[[#This Row],[conteo]]/ocurrencias[[#Totals],[conteo]]</f>
        <v>2.6447557130221424E-2</v>
      </c>
      <c r="K133">
        <v>7.2459060630743598E-3</v>
      </c>
    </row>
    <row r="134" spans="1:11" x14ac:dyDescent="0.3">
      <c r="A134" t="s">
        <v>160</v>
      </c>
      <c r="B134" t="s">
        <v>166</v>
      </c>
      <c r="C134" t="s">
        <v>15</v>
      </c>
      <c r="D134" t="str">
        <f>VLOOKUP(ocurrencias[[#This Row],[Dir]],'Rosa 16'!$B$1:$G$17,4,FALSE)</f>
        <v>168,75° – 191,25°</v>
      </c>
      <c r="E134">
        <v>29</v>
      </c>
      <c r="F134" s="50">
        <v>3.6537931034482698</v>
      </c>
      <c r="G134" s="50">
        <v>11.832413793103401</v>
      </c>
      <c r="H134" s="50">
        <v>184.93103448275801</v>
      </c>
      <c r="I134" s="51">
        <f>ocurrencias[[#This Row],[conteo]]/ocurrencias[[#Totals],[conteo]]</f>
        <v>7.2459060630743636E-5</v>
      </c>
      <c r="J134" s="50">
        <f>365*ocurrencias[[#This Row],[conteo]]/ocurrencias[[#Totals],[conteo]]</f>
        <v>2.6447557130221424E-2</v>
      </c>
      <c r="K134">
        <v>7.2459060630743598E-3</v>
      </c>
    </row>
    <row r="135" spans="1:11" x14ac:dyDescent="0.3">
      <c r="A135" t="s">
        <v>155</v>
      </c>
      <c r="B135" t="s">
        <v>168</v>
      </c>
      <c r="C135" t="s">
        <v>19</v>
      </c>
      <c r="D135" t="str">
        <f>VLOOKUP(ocurrencias[[#This Row],[Dir]],'Rosa 16'!$B$1:$G$17,4,FALSE)</f>
        <v>258,75° – 281,25°</v>
      </c>
      <c r="E135">
        <v>28</v>
      </c>
      <c r="F135" s="50">
        <v>1.3975</v>
      </c>
      <c r="G135" s="50">
        <v>18.047857142857101</v>
      </c>
      <c r="H135" s="50">
        <v>273.96428571428498</v>
      </c>
      <c r="I135" s="51">
        <f>ocurrencias[[#This Row],[conteo]]/ocurrencias[[#Totals],[conteo]]</f>
        <v>6.9960472333131782E-5</v>
      </c>
      <c r="J135" s="50">
        <f>365*ocurrencias[[#This Row],[conteo]]/ocurrencias[[#Totals],[conteo]]</f>
        <v>2.5535572401593098E-2</v>
      </c>
      <c r="K135">
        <v>6.99604723331317E-3</v>
      </c>
    </row>
    <row r="136" spans="1:11" x14ac:dyDescent="0.3">
      <c r="A136" t="s">
        <v>157</v>
      </c>
      <c r="B136" t="s">
        <v>170</v>
      </c>
      <c r="C136" t="s">
        <v>17</v>
      </c>
      <c r="D136" t="str">
        <f>VLOOKUP(ocurrencias[[#This Row],[Dir]],'Rosa 16'!$B$1:$G$17,4,FALSE)</f>
        <v>213,75° – 236,25°</v>
      </c>
      <c r="E136">
        <v>27</v>
      </c>
      <c r="F136" s="50">
        <v>2.17148148148148</v>
      </c>
      <c r="G136" s="50">
        <v>23.5248148148148</v>
      </c>
      <c r="H136" s="50">
        <v>220.70370370370301</v>
      </c>
      <c r="I136" s="51">
        <f>ocurrencias[[#This Row],[conteo]]/ocurrencias[[#Totals],[conteo]]</f>
        <v>6.7461884035519928E-5</v>
      </c>
      <c r="J136" s="50">
        <f>365*ocurrencias[[#This Row],[conteo]]/ocurrencias[[#Totals],[conteo]]</f>
        <v>2.4623587672964777E-2</v>
      </c>
      <c r="K136">
        <v>6.7461884035519898E-3</v>
      </c>
    </row>
    <row r="137" spans="1:11" x14ac:dyDescent="0.3">
      <c r="A137" t="s">
        <v>158</v>
      </c>
      <c r="B137" t="s">
        <v>167</v>
      </c>
      <c r="C137" t="s">
        <v>19</v>
      </c>
      <c r="D137" t="str">
        <f>VLOOKUP(ocurrencias[[#This Row],[Dir]],'Rosa 16'!$B$1:$G$17,4,FALSE)</f>
        <v>258,75° – 281,25°</v>
      </c>
      <c r="E137">
        <v>24</v>
      </c>
      <c r="F137" s="50">
        <v>2.5845833333333301</v>
      </c>
      <c r="G137" s="50">
        <v>16.635833333333299</v>
      </c>
      <c r="H137">
        <v>266.25</v>
      </c>
      <c r="I137" s="51">
        <f>ocurrencias[[#This Row],[conteo]]/ocurrencias[[#Totals],[conteo]]</f>
        <v>5.9966119142684381E-5</v>
      </c>
      <c r="J137" s="50">
        <f>365*ocurrencias[[#This Row],[conteo]]/ocurrencias[[#Totals],[conteo]]</f>
        <v>2.18876334870798E-2</v>
      </c>
      <c r="K137">
        <v>5.9966119142684298E-3</v>
      </c>
    </row>
    <row r="138" spans="1:11" x14ac:dyDescent="0.3">
      <c r="A138" t="s">
        <v>155</v>
      </c>
      <c r="B138" t="s">
        <v>166</v>
      </c>
      <c r="C138" t="s">
        <v>14</v>
      </c>
      <c r="D138" t="str">
        <f>VLOOKUP(ocurrencias[[#This Row],[Dir]],'Rosa 16'!$B$1:$G$17,4,FALSE)</f>
        <v>146,25° – 168,75°</v>
      </c>
      <c r="E138">
        <v>22</v>
      </c>
      <c r="F138" s="50">
        <v>1.1245454545454501</v>
      </c>
      <c r="G138" s="50">
        <v>13.0290909090909</v>
      </c>
      <c r="H138" s="50">
        <v>165.09090909090901</v>
      </c>
      <c r="I138" s="51">
        <f>ocurrencias[[#This Row],[conteo]]/ocurrencias[[#Totals],[conteo]]</f>
        <v>5.4968942547460687E-5</v>
      </c>
      <c r="J138" s="50">
        <f>365*ocurrencias[[#This Row],[conteo]]/ocurrencias[[#Totals],[conteo]]</f>
        <v>2.0063664029823149E-2</v>
      </c>
      <c r="K138">
        <v>5.4968942547460597E-3</v>
      </c>
    </row>
    <row r="139" spans="1:11" x14ac:dyDescent="0.3">
      <c r="A139" t="s">
        <v>156</v>
      </c>
      <c r="B139" t="s">
        <v>168</v>
      </c>
      <c r="C139" t="s">
        <v>14</v>
      </c>
      <c r="D139" t="str">
        <f>VLOOKUP(ocurrencias[[#This Row],[Dir]],'Rosa 16'!$B$1:$G$17,4,FALSE)</f>
        <v>146,25° – 168,75°</v>
      </c>
      <c r="E139">
        <v>22</v>
      </c>
      <c r="F139" s="50">
        <v>1.5827272727272701</v>
      </c>
      <c r="G139" s="50">
        <v>17.512727272727201</v>
      </c>
      <c r="H139" s="50">
        <v>162.54545454545399</v>
      </c>
      <c r="I139" s="51">
        <f>ocurrencias[[#This Row],[conteo]]/ocurrencias[[#Totals],[conteo]]</f>
        <v>5.4968942547460687E-5</v>
      </c>
      <c r="J139" s="50">
        <f>365*ocurrencias[[#This Row],[conteo]]/ocurrencias[[#Totals],[conteo]]</f>
        <v>2.0063664029823149E-2</v>
      </c>
      <c r="K139">
        <v>5.4968942547460597E-3</v>
      </c>
    </row>
    <row r="140" spans="1:11" x14ac:dyDescent="0.3">
      <c r="A140" t="s">
        <v>162</v>
      </c>
      <c r="B140" t="s">
        <v>165</v>
      </c>
      <c r="C140" t="s">
        <v>15</v>
      </c>
      <c r="D140" t="str">
        <f>VLOOKUP(ocurrencias[[#This Row],[Dir]],'Rosa 16'!$B$1:$G$17,4,FALSE)</f>
        <v>168,75° – 191,25°</v>
      </c>
      <c r="E140">
        <v>22</v>
      </c>
      <c r="F140" s="50">
        <v>4.64954545454545</v>
      </c>
      <c r="G140" s="50">
        <v>10.2131818181818</v>
      </c>
      <c r="H140" s="50">
        <v>178.772727272727</v>
      </c>
      <c r="I140" s="51">
        <f>ocurrencias[[#This Row],[conteo]]/ocurrencias[[#Totals],[conteo]]</f>
        <v>5.4968942547460687E-5</v>
      </c>
      <c r="J140" s="50">
        <f>365*ocurrencias[[#This Row],[conteo]]/ocurrencias[[#Totals],[conteo]]</f>
        <v>2.0063664029823149E-2</v>
      </c>
      <c r="K140">
        <v>5.4968942547460597E-3</v>
      </c>
    </row>
    <row r="141" spans="1:11" x14ac:dyDescent="0.3">
      <c r="A141" t="s">
        <v>155</v>
      </c>
      <c r="B141" t="s">
        <v>164</v>
      </c>
      <c r="C141" t="s">
        <v>15</v>
      </c>
      <c r="D141" t="str">
        <f>VLOOKUP(ocurrencias[[#This Row],[Dir]],'Rosa 16'!$B$1:$G$17,4,FALSE)</f>
        <v>168,75° – 191,25°</v>
      </c>
      <c r="E141">
        <v>21</v>
      </c>
      <c r="F141" s="50">
        <v>1.36904761904761</v>
      </c>
      <c r="G141" s="50">
        <v>7.2819047619047597</v>
      </c>
      <c r="H141">
        <v>183</v>
      </c>
      <c r="I141" s="51">
        <f>ocurrencias[[#This Row],[conteo]]/ocurrencias[[#Totals],[conteo]]</f>
        <v>5.2470354249848833E-5</v>
      </c>
      <c r="J141" s="50">
        <f>365*ocurrencias[[#This Row],[conteo]]/ocurrencias[[#Totals],[conteo]]</f>
        <v>1.9151679301194824E-2</v>
      </c>
      <c r="K141">
        <v>5.2470354249848803E-3</v>
      </c>
    </row>
    <row r="142" spans="1:11" x14ac:dyDescent="0.3">
      <c r="A142" t="s">
        <v>155</v>
      </c>
      <c r="B142" t="s">
        <v>167</v>
      </c>
      <c r="C142" t="s">
        <v>14</v>
      </c>
      <c r="D142" t="str">
        <f>VLOOKUP(ocurrencias[[#This Row],[Dir]],'Rosa 16'!$B$1:$G$17,4,FALSE)</f>
        <v>146,25° – 168,75°</v>
      </c>
      <c r="E142">
        <v>20</v>
      </c>
      <c r="F142">
        <v>1.3140000000000001</v>
      </c>
      <c r="G142" s="50">
        <v>15.569999999999901</v>
      </c>
      <c r="H142">
        <v>166.5</v>
      </c>
      <c r="I142" s="51">
        <f>ocurrencias[[#This Row],[conteo]]/ocurrencias[[#Totals],[conteo]]</f>
        <v>4.9971765952236986E-5</v>
      </c>
      <c r="J142" s="50">
        <f>365*ocurrencias[[#This Row],[conteo]]/ocurrencias[[#Totals],[conteo]]</f>
        <v>1.8239694572566498E-2</v>
      </c>
      <c r="K142">
        <v>4.9971765952236897E-3</v>
      </c>
    </row>
    <row r="143" spans="1:11" x14ac:dyDescent="0.3">
      <c r="A143" t="s">
        <v>156</v>
      </c>
      <c r="B143" t="s">
        <v>163</v>
      </c>
      <c r="C143" t="s">
        <v>17</v>
      </c>
      <c r="D143" t="str">
        <f>VLOOKUP(ocurrencias[[#This Row],[Dir]],'Rosa 16'!$B$1:$G$17,4,FALSE)</f>
        <v>213,75° – 236,25°</v>
      </c>
      <c r="E143">
        <v>20</v>
      </c>
      <c r="F143" s="50">
        <v>1.7865</v>
      </c>
      <c r="G143">
        <v>4.2164999999999999</v>
      </c>
      <c r="H143">
        <v>214.8</v>
      </c>
      <c r="I143" s="51">
        <f>ocurrencias[[#This Row],[conteo]]/ocurrencias[[#Totals],[conteo]]</f>
        <v>4.9971765952236986E-5</v>
      </c>
      <c r="J143" s="50">
        <f>365*ocurrencias[[#This Row],[conteo]]/ocurrencias[[#Totals],[conteo]]</f>
        <v>1.8239694572566498E-2</v>
      </c>
      <c r="K143">
        <v>4.9971765952236897E-3</v>
      </c>
    </row>
    <row r="144" spans="1:11" x14ac:dyDescent="0.3">
      <c r="A144" t="s">
        <v>157</v>
      </c>
      <c r="B144" t="s">
        <v>169</v>
      </c>
      <c r="C144" t="s">
        <v>15</v>
      </c>
      <c r="D144" t="str">
        <f>VLOOKUP(ocurrencias[[#This Row],[Dir]],'Rosa 16'!$B$1:$G$17,4,FALSE)</f>
        <v>168,75° – 191,25°</v>
      </c>
      <c r="E144">
        <v>20</v>
      </c>
      <c r="F144">
        <v>2.2635000000000001</v>
      </c>
      <c r="G144">
        <v>20.981000000000002</v>
      </c>
      <c r="H144">
        <v>188.55</v>
      </c>
      <c r="I144" s="51">
        <f>ocurrencias[[#This Row],[conteo]]/ocurrencias[[#Totals],[conteo]]</f>
        <v>4.9971765952236986E-5</v>
      </c>
      <c r="J144" s="50">
        <f>365*ocurrencias[[#This Row],[conteo]]/ocurrencias[[#Totals],[conteo]]</f>
        <v>1.8239694572566498E-2</v>
      </c>
      <c r="K144">
        <v>4.9971765952236897E-3</v>
      </c>
    </row>
    <row r="145" spans="1:11" x14ac:dyDescent="0.3">
      <c r="A145" t="s">
        <v>159</v>
      </c>
      <c r="B145" t="s">
        <v>164</v>
      </c>
      <c r="C145" t="s">
        <v>15</v>
      </c>
      <c r="D145" t="str">
        <f>VLOOKUP(ocurrencias[[#This Row],[Dir]],'Rosa 16'!$B$1:$G$17,4,FALSE)</f>
        <v>168,75° – 191,25°</v>
      </c>
      <c r="E145">
        <v>20</v>
      </c>
      <c r="F145" s="50">
        <v>3.1384999999999899</v>
      </c>
      <c r="G145">
        <v>7.8040000000000003</v>
      </c>
      <c r="H145">
        <v>176.4</v>
      </c>
      <c r="I145" s="51">
        <f>ocurrencias[[#This Row],[conteo]]/ocurrencias[[#Totals],[conteo]]</f>
        <v>4.9971765952236986E-5</v>
      </c>
      <c r="J145" s="50">
        <f>365*ocurrencias[[#This Row],[conteo]]/ocurrencias[[#Totals],[conteo]]</f>
        <v>1.8239694572566498E-2</v>
      </c>
      <c r="K145">
        <v>4.9971765952236897E-3</v>
      </c>
    </row>
    <row r="146" spans="1:11" x14ac:dyDescent="0.3">
      <c r="A146" t="s">
        <v>154</v>
      </c>
      <c r="B146" t="s">
        <v>168</v>
      </c>
      <c r="C146" t="s">
        <v>14</v>
      </c>
      <c r="D146" t="str">
        <f>VLOOKUP(ocurrencias[[#This Row],[Dir]],'Rosa 16'!$B$1:$G$17,4,FALSE)</f>
        <v>146,25° – 168,75°</v>
      </c>
      <c r="E146">
        <v>19</v>
      </c>
      <c r="F146" s="50">
        <v>0.73947368421052595</v>
      </c>
      <c r="G146" s="50">
        <v>18.9157894736842</v>
      </c>
      <c r="H146" s="50">
        <v>159.947368421052</v>
      </c>
      <c r="I146" s="51">
        <f>ocurrencias[[#This Row],[conteo]]/ocurrencias[[#Totals],[conteo]]</f>
        <v>4.7473177654625139E-5</v>
      </c>
      <c r="J146" s="50">
        <f>365*ocurrencias[[#This Row],[conteo]]/ocurrencias[[#Totals],[conteo]]</f>
        <v>1.7327709843938176E-2</v>
      </c>
      <c r="K146">
        <v>4.7473177654625102E-3</v>
      </c>
    </row>
    <row r="147" spans="1:11" x14ac:dyDescent="0.3">
      <c r="A147" t="s">
        <v>157</v>
      </c>
      <c r="B147" t="s">
        <v>167</v>
      </c>
      <c r="C147" t="s">
        <v>74</v>
      </c>
      <c r="D147" t="str">
        <f>VLOOKUP(ocurrencias[[#This Row],[Dir]],'Rosa 16'!$B$1:$G$17,4,FALSE)</f>
        <v>303,75° – 326,25°</v>
      </c>
      <c r="E147">
        <v>19</v>
      </c>
      <c r="F147" s="50">
        <v>2.0510526315789401</v>
      </c>
      <c r="G147" s="50">
        <v>16.386315789473599</v>
      </c>
      <c r="H147" s="50">
        <v>304.36842105263099</v>
      </c>
      <c r="I147" s="51">
        <f>ocurrencias[[#This Row],[conteo]]/ocurrencias[[#Totals],[conteo]]</f>
        <v>4.7473177654625139E-5</v>
      </c>
      <c r="J147" s="50">
        <f>365*ocurrencias[[#This Row],[conteo]]/ocurrencias[[#Totals],[conteo]]</f>
        <v>1.7327709843938176E-2</v>
      </c>
      <c r="K147">
        <v>4.7473177654625102E-3</v>
      </c>
    </row>
    <row r="148" spans="1:11" x14ac:dyDescent="0.3">
      <c r="A148" t="s">
        <v>156</v>
      </c>
      <c r="B148" t="s">
        <v>163</v>
      </c>
      <c r="C148" t="s">
        <v>16</v>
      </c>
      <c r="D148" t="str">
        <f>VLOOKUP(ocurrencias[[#This Row],[Dir]],'Rosa 16'!$B$1:$G$17,4,FALSE)</f>
        <v>191,25° – 213,75°</v>
      </c>
      <c r="E148">
        <v>18</v>
      </c>
      <c r="F148" s="50">
        <v>1.8938888888888801</v>
      </c>
      <c r="G148">
        <v>4.17</v>
      </c>
      <c r="H148">
        <v>210.5</v>
      </c>
      <c r="I148" s="51">
        <f>ocurrencias[[#This Row],[conteo]]/ocurrencias[[#Totals],[conteo]]</f>
        <v>4.4974589357013286E-5</v>
      </c>
      <c r="J148" s="50">
        <f>365*ocurrencias[[#This Row],[conteo]]/ocurrencias[[#Totals],[conteo]]</f>
        <v>1.6415725115309851E-2</v>
      </c>
      <c r="K148">
        <v>4.4974589357013204E-3</v>
      </c>
    </row>
    <row r="149" spans="1:11" x14ac:dyDescent="0.3">
      <c r="A149" t="s">
        <v>156</v>
      </c>
      <c r="B149" t="s">
        <v>167</v>
      </c>
      <c r="C149" t="s">
        <v>14</v>
      </c>
      <c r="D149" t="str">
        <f>VLOOKUP(ocurrencias[[#This Row],[Dir]],'Rosa 16'!$B$1:$G$17,4,FALSE)</f>
        <v>146,25° – 168,75°</v>
      </c>
      <c r="E149">
        <v>18</v>
      </c>
      <c r="F149" s="50">
        <v>1.86777777777777</v>
      </c>
      <c r="G149" s="50">
        <v>15.899999999999901</v>
      </c>
      <c r="H149" s="50">
        <v>162.444444444444</v>
      </c>
      <c r="I149" s="51">
        <f>ocurrencias[[#This Row],[conteo]]/ocurrencias[[#Totals],[conteo]]</f>
        <v>4.4974589357013286E-5</v>
      </c>
      <c r="J149" s="50">
        <f>365*ocurrencias[[#This Row],[conteo]]/ocurrencias[[#Totals],[conteo]]</f>
        <v>1.6415725115309851E-2</v>
      </c>
      <c r="K149">
        <v>4.4974589357013204E-3</v>
      </c>
    </row>
    <row r="150" spans="1:11" x14ac:dyDescent="0.3">
      <c r="A150" t="s">
        <v>157</v>
      </c>
      <c r="B150" t="s">
        <v>165</v>
      </c>
      <c r="C150" t="s">
        <v>17</v>
      </c>
      <c r="D150" t="str">
        <f>VLOOKUP(ocurrencias[[#This Row],[Dir]],'Rosa 16'!$B$1:$G$17,4,FALSE)</f>
        <v>213,75° – 236,25°</v>
      </c>
      <c r="E150">
        <v>18</v>
      </c>
      <c r="F150" s="50">
        <v>2.0805555555555499</v>
      </c>
      <c r="G150">
        <v>10.99</v>
      </c>
      <c r="H150" s="50">
        <v>224.611111111111</v>
      </c>
      <c r="I150" s="51">
        <f>ocurrencias[[#This Row],[conteo]]/ocurrencias[[#Totals],[conteo]]</f>
        <v>4.4974589357013286E-5</v>
      </c>
      <c r="J150" s="50">
        <f>365*ocurrencias[[#This Row],[conteo]]/ocurrencias[[#Totals],[conteo]]</f>
        <v>1.6415725115309851E-2</v>
      </c>
      <c r="K150">
        <v>4.4974589357013204E-3</v>
      </c>
    </row>
    <row r="151" spans="1:11" x14ac:dyDescent="0.3">
      <c r="A151" t="s">
        <v>154</v>
      </c>
      <c r="B151" t="s">
        <v>164</v>
      </c>
      <c r="C151" t="s">
        <v>16</v>
      </c>
      <c r="D151" t="str">
        <f>VLOOKUP(ocurrencias[[#This Row],[Dir]],'Rosa 16'!$B$1:$G$17,4,FALSE)</f>
        <v>191,25° – 213,75°</v>
      </c>
      <c r="E151">
        <v>17</v>
      </c>
      <c r="F151" s="50">
        <v>0.56470588235294095</v>
      </c>
      <c r="G151" s="50">
        <v>6.1458823529411699</v>
      </c>
      <c r="H151" s="50">
        <v>196.35294117647001</v>
      </c>
      <c r="I151" s="51">
        <f>ocurrencias[[#This Row],[conteo]]/ocurrencias[[#Totals],[conteo]]</f>
        <v>4.2476001059401439E-5</v>
      </c>
      <c r="J151" s="50">
        <f>365*ocurrencias[[#This Row],[conteo]]/ocurrencias[[#Totals],[conteo]]</f>
        <v>1.5503740386681526E-2</v>
      </c>
      <c r="K151">
        <v>4.2476001059401402E-3</v>
      </c>
    </row>
    <row r="152" spans="1:11" x14ac:dyDescent="0.3">
      <c r="A152" t="s">
        <v>155</v>
      </c>
      <c r="B152" t="s">
        <v>170</v>
      </c>
      <c r="C152" t="s">
        <v>20</v>
      </c>
      <c r="D152" t="str">
        <f>VLOOKUP(ocurrencias[[#This Row],[Dir]],'Rosa 16'!$B$1:$G$17,4,FALSE)</f>
        <v>281,25° – 303,75°</v>
      </c>
      <c r="E152">
        <v>16</v>
      </c>
      <c r="F152">
        <v>1.348125</v>
      </c>
      <c r="G152">
        <v>23.569375000000001</v>
      </c>
      <c r="H152">
        <v>303</v>
      </c>
      <c r="I152" s="51">
        <f>ocurrencias[[#This Row],[conteo]]/ocurrencias[[#Totals],[conteo]]</f>
        <v>3.9977412761789592E-5</v>
      </c>
      <c r="J152" s="50">
        <f>365*ocurrencias[[#This Row],[conteo]]/ocurrencias[[#Totals],[conteo]]</f>
        <v>1.45917556580532E-2</v>
      </c>
      <c r="K152">
        <v>3.9977412761789503E-3</v>
      </c>
    </row>
    <row r="153" spans="1:11" x14ac:dyDescent="0.3">
      <c r="A153" t="s">
        <v>157</v>
      </c>
      <c r="B153" t="s">
        <v>163</v>
      </c>
      <c r="C153" t="s">
        <v>16</v>
      </c>
      <c r="D153" t="str">
        <f>VLOOKUP(ocurrencias[[#This Row],[Dir]],'Rosa 16'!$B$1:$G$17,4,FALSE)</f>
        <v>191,25° – 213,75°</v>
      </c>
      <c r="E153">
        <v>15</v>
      </c>
      <c r="F153" s="50">
        <v>2.06866666666666</v>
      </c>
      <c r="G153">
        <v>4.3159999999999998</v>
      </c>
      <c r="H153" s="50">
        <v>209.933333333333</v>
      </c>
      <c r="I153" s="51">
        <f>ocurrencias[[#This Row],[conteo]]/ocurrencias[[#Totals],[conteo]]</f>
        <v>3.7478824464177738E-5</v>
      </c>
      <c r="J153" s="50">
        <f>365*ocurrencias[[#This Row],[conteo]]/ocurrencias[[#Totals],[conteo]]</f>
        <v>1.3679770929424875E-2</v>
      </c>
      <c r="K153">
        <v>3.7478824464177701E-3</v>
      </c>
    </row>
    <row r="154" spans="1:11" x14ac:dyDescent="0.3">
      <c r="A154" t="s">
        <v>154</v>
      </c>
      <c r="B154" t="s">
        <v>163</v>
      </c>
      <c r="C154" t="s">
        <v>14</v>
      </c>
      <c r="D154" t="str">
        <f>VLOOKUP(ocurrencias[[#This Row],[Dir]],'Rosa 16'!$B$1:$G$17,4,FALSE)</f>
        <v>146,25° – 168,75°</v>
      </c>
      <c r="E154">
        <v>14</v>
      </c>
      <c r="F154" s="50">
        <v>0.68214285714285705</v>
      </c>
      <c r="G154" s="50">
        <v>3.91785714285714</v>
      </c>
      <c r="H154" s="50">
        <v>165.57142857142799</v>
      </c>
      <c r="I154" s="51">
        <f>ocurrencias[[#This Row],[conteo]]/ocurrencias[[#Totals],[conteo]]</f>
        <v>3.4980236166565891E-5</v>
      </c>
      <c r="J154" s="50">
        <f>365*ocurrencias[[#This Row],[conteo]]/ocurrencias[[#Totals],[conteo]]</f>
        <v>1.2767786200796549E-2</v>
      </c>
      <c r="K154">
        <v>3.4980236166565798E-3</v>
      </c>
    </row>
    <row r="155" spans="1:11" x14ac:dyDescent="0.3">
      <c r="A155" t="s">
        <v>160</v>
      </c>
      <c r="B155" t="s">
        <v>169</v>
      </c>
      <c r="C155" t="s">
        <v>17</v>
      </c>
      <c r="D155" t="str">
        <f>VLOOKUP(ocurrencias[[#This Row],[Dir]],'Rosa 16'!$B$1:$G$17,4,FALSE)</f>
        <v>213,75° – 236,25°</v>
      </c>
      <c r="E155">
        <v>14</v>
      </c>
      <c r="F155" s="50">
        <v>3.7407142857142799</v>
      </c>
      <c r="G155" s="50">
        <v>20.777857142857101</v>
      </c>
      <c r="H155" s="50">
        <v>216.42857142857099</v>
      </c>
      <c r="I155" s="51">
        <f>ocurrencias[[#This Row],[conteo]]/ocurrencias[[#Totals],[conteo]]</f>
        <v>3.4980236166565891E-5</v>
      </c>
      <c r="J155" s="50">
        <f>365*ocurrencias[[#This Row],[conteo]]/ocurrencias[[#Totals],[conteo]]</f>
        <v>1.2767786200796549E-2</v>
      </c>
      <c r="K155">
        <v>3.4980236166565798E-3</v>
      </c>
    </row>
    <row r="156" spans="1:11" x14ac:dyDescent="0.3">
      <c r="A156" t="s">
        <v>156</v>
      </c>
      <c r="B156" t="s">
        <v>166</v>
      </c>
      <c r="C156" t="s">
        <v>20</v>
      </c>
      <c r="D156" t="str">
        <f>VLOOKUP(ocurrencias[[#This Row],[Dir]],'Rosa 16'!$B$1:$G$17,4,FALSE)</f>
        <v>281,25° – 303,75°</v>
      </c>
      <c r="E156">
        <v>13</v>
      </c>
      <c r="F156" s="50">
        <v>1.5930769230769199</v>
      </c>
      <c r="G156" s="50">
        <v>12.674615384615301</v>
      </c>
      <c r="H156" s="50">
        <v>293.76923076922998</v>
      </c>
      <c r="I156" s="51">
        <f>ocurrencias[[#This Row],[conteo]]/ocurrencias[[#Totals],[conteo]]</f>
        <v>3.2481647868954044E-5</v>
      </c>
      <c r="J156" s="50">
        <f>365*ocurrencias[[#This Row],[conteo]]/ocurrencias[[#Totals],[conteo]]</f>
        <v>1.1855801472168226E-2</v>
      </c>
      <c r="K156">
        <v>3.2481647868954E-3</v>
      </c>
    </row>
    <row r="157" spans="1:11" x14ac:dyDescent="0.3">
      <c r="A157" t="s">
        <v>156</v>
      </c>
      <c r="B157" t="s">
        <v>170</v>
      </c>
      <c r="C157" t="s">
        <v>16</v>
      </c>
      <c r="D157" t="str">
        <f>VLOOKUP(ocurrencias[[#This Row],[Dir]],'Rosa 16'!$B$1:$G$17,4,FALSE)</f>
        <v>191,25° – 213,75°</v>
      </c>
      <c r="E157">
        <v>13</v>
      </c>
      <c r="F157" s="50">
        <v>1.85307692307692</v>
      </c>
      <c r="G157" s="50">
        <v>23.640769230769202</v>
      </c>
      <c r="H157" s="50">
        <v>211.53846153846101</v>
      </c>
      <c r="I157" s="51">
        <f>ocurrencias[[#This Row],[conteo]]/ocurrencias[[#Totals],[conteo]]</f>
        <v>3.2481647868954044E-5</v>
      </c>
      <c r="J157" s="50">
        <f>365*ocurrencias[[#This Row],[conteo]]/ocurrencias[[#Totals],[conteo]]</f>
        <v>1.1855801472168226E-2</v>
      </c>
      <c r="K157">
        <v>3.2481647868954E-3</v>
      </c>
    </row>
    <row r="158" spans="1:11" x14ac:dyDescent="0.3">
      <c r="A158" t="s">
        <v>158</v>
      </c>
      <c r="B158" t="s">
        <v>169</v>
      </c>
      <c r="C158" t="s">
        <v>15</v>
      </c>
      <c r="D158" t="str">
        <f>VLOOKUP(ocurrencias[[#This Row],[Dir]],'Rosa 16'!$B$1:$G$17,4,FALSE)</f>
        <v>168,75° – 191,25°</v>
      </c>
      <c r="E158">
        <v>13</v>
      </c>
      <c r="F158" s="50">
        <v>2.76461538461538</v>
      </c>
      <c r="G158" s="50">
        <v>21.2992307692307</v>
      </c>
      <c r="H158" s="50">
        <v>189.230769230769</v>
      </c>
      <c r="I158" s="51">
        <f>ocurrencias[[#This Row],[conteo]]/ocurrencias[[#Totals],[conteo]]</f>
        <v>3.2481647868954044E-5</v>
      </c>
      <c r="J158" s="50">
        <f>365*ocurrencias[[#This Row],[conteo]]/ocurrencias[[#Totals],[conteo]]</f>
        <v>1.1855801472168226E-2</v>
      </c>
      <c r="K158">
        <v>3.2481647868954E-3</v>
      </c>
    </row>
    <row r="159" spans="1:11" x14ac:dyDescent="0.3">
      <c r="A159" t="s">
        <v>159</v>
      </c>
      <c r="B159" t="s">
        <v>167</v>
      </c>
      <c r="C159" t="s">
        <v>18</v>
      </c>
      <c r="D159" t="str">
        <f>VLOOKUP(ocurrencias[[#This Row],[Dir]],'Rosa 16'!$B$1:$G$17,4,FALSE)</f>
        <v>236,25° – 258,75°</v>
      </c>
      <c r="E159">
        <v>13</v>
      </c>
      <c r="F159">
        <v>3.17</v>
      </c>
      <c r="G159" s="50">
        <v>16.154615384615301</v>
      </c>
      <c r="H159">
        <v>238</v>
      </c>
      <c r="I159" s="51">
        <f>ocurrencias[[#This Row],[conteo]]/ocurrencias[[#Totals],[conteo]]</f>
        <v>3.2481647868954044E-5</v>
      </c>
      <c r="J159" s="50">
        <f>365*ocurrencias[[#This Row],[conteo]]/ocurrencias[[#Totals],[conteo]]</f>
        <v>1.1855801472168226E-2</v>
      </c>
      <c r="K159">
        <v>3.2481647868954E-3</v>
      </c>
    </row>
    <row r="160" spans="1:11" x14ac:dyDescent="0.3">
      <c r="A160" t="s">
        <v>157</v>
      </c>
      <c r="B160" t="s">
        <v>170</v>
      </c>
      <c r="C160" t="s">
        <v>16</v>
      </c>
      <c r="D160" t="str">
        <f>VLOOKUP(ocurrencias[[#This Row],[Dir]],'Rosa 16'!$B$1:$G$17,4,FALSE)</f>
        <v>191,25° – 213,75°</v>
      </c>
      <c r="E160">
        <v>12</v>
      </c>
      <c r="F160" s="50">
        <v>2.1933333333333298</v>
      </c>
      <c r="G160" s="50">
        <v>23.3058333333333</v>
      </c>
      <c r="H160" s="50">
        <v>208.916666666666</v>
      </c>
      <c r="I160" s="51">
        <f>ocurrencias[[#This Row],[conteo]]/ocurrencias[[#Totals],[conteo]]</f>
        <v>2.998305957134219E-5</v>
      </c>
      <c r="J160" s="50">
        <f>365*ocurrencias[[#This Row],[conteo]]/ocurrencias[[#Totals],[conteo]]</f>
        <v>1.09438167435399E-2</v>
      </c>
      <c r="K160">
        <v>2.9983059571342102E-3</v>
      </c>
    </row>
    <row r="161" spans="1:11" x14ac:dyDescent="0.3">
      <c r="A161" t="s">
        <v>159</v>
      </c>
      <c r="B161" t="s">
        <v>168</v>
      </c>
      <c r="C161" t="s">
        <v>15</v>
      </c>
      <c r="D161" t="str">
        <f>VLOOKUP(ocurrencias[[#This Row],[Dir]],'Rosa 16'!$B$1:$G$17,4,FALSE)</f>
        <v>168,75° – 191,25°</v>
      </c>
      <c r="E161">
        <v>12</v>
      </c>
      <c r="F161" s="50">
        <v>3.07499999999999</v>
      </c>
      <c r="G161" s="50">
        <v>17.6658333333333</v>
      </c>
      <c r="H161" s="50">
        <v>189.833333333333</v>
      </c>
      <c r="I161" s="51">
        <f>ocurrencias[[#This Row],[conteo]]/ocurrencias[[#Totals],[conteo]]</f>
        <v>2.998305957134219E-5</v>
      </c>
      <c r="J161" s="50">
        <f>365*ocurrencias[[#This Row],[conteo]]/ocurrencias[[#Totals],[conteo]]</f>
        <v>1.09438167435399E-2</v>
      </c>
      <c r="K161">
        <v>2.9983059571342102E-3</v>
      </c>
    </row>
    <row r="162" spans="1:11" x14ac:dyDescent="0.3">
      <c r="A162" t="s">
        <v>157</v>
      </c>
      <c r="B162" t="s">
        <v>164</v>
      </c>
      <c r="C162" t="s">
        <v>17</v>
      </c>
      <c r="D162" t="str">
        <f>VLOOKUP(ocurrencias[[#This Row],[Dir]],'Rosa 16'!$B$1:$G$17,4,FALSE)</f>
        <v>213,75° – 236,25°</v>
      </c>
      <c r="E162">
        <v>11</v>
      </c>
      <c r="F162" s="50">
        <v>2.1263636363636298</v>
      </c>
      <c r="G162" s="50">
        <v>6.1845454545454501</v>
      </c>
      <c r="H162">
        <v>221</v>
      </c>
      <c r="I162" s="51">
        <f>ocurrencias[[#This Row],[conteo]]/ocurrencias[[#Totals],[conteo]]</f>
        <v>2.7484471273730343E-5</v>
      </c>
      <c r="J162" s="50">
        <f>365*ocurrencias[[#This Row],[conteo]]/ocurrencias[[#Totals],[conteo]]</f>
        <v>1.0031832014911575E-2</v>
      </c>
      <c r="K162">
        <v>2.7484471273730299E-3</v>
      </c>
    </row>
    <row r="163" spans="1:11" x14ac:dyDescent="0.3">
      <c r="A163" t="s">
        <v>158</v>
      </c>
      <c r="B163" t="s">
        <v>168</v>
      </c>
      <c r="C163" t="s">
        <v>74</v>
      </c>
      <c r="D163" t="str">
        <f>VLOOKUP(ocurrencias[[#This Row],[Dir]],'Rosa 16'!$B$1:$G$17,4,FALSE)</f>
        <v>303,75° – 326,25°</v>
      </c>
      <c r="E163">
        <v>10</v>
      </c>
      <c r="F163">
        <v>2.5419999999999998</v>
      </c>
      <c r="G163" s="50">
        <v>19.419999999999899</v>
      </c>
      <c r="H163">
        <v>304</v>
      </c>
      <c r="I163" s="51">
        <f>ocurrencias[[#This Row],[conteo]]/ocurrencias[[#Totals],[conteo]]</f>
        <v>2.4985882976118493E-5</v>
      </c>
      <c r="J163" s="50">
        <f>365*ocurrencias[[#This Row],[conteo]]/ocurrencias[[#Totals],[conteo]]</f>
        <v>9.1198472862832492E-3</v>
      </c>
      <c r="K163">
        <v>2.4985882976118401E-3</v>
      </c>
    </row>
    <row r="164" spans="1:11" x14ac:dyDescent="0.3">
      <c r="A164" t="s">
        <v>158</v>
      </c>
      <c r="B164" t="s">
        <v>170</v>
      </c>
      <c r="C164" t="s">
        <v>16</v>
      </c>
      <c r="D164" t="str">
        <f>VLOOKUP(ocurrencias[[#This Row],[Dir]],'Rosa 16'!$B$1:$G$17,4,FALSE)</f>
        <v>191,25° – 213,75°</v>
      </c>
      <c r="E164">
        <v>10</v>
      </c>
      <c r="F164" s="50">
        <v>2.7649999999999899</v>
      </c>
      <c r="G164">
        <v>23.26</v>
      </c>
      <c r="H164">
        <v>206.7</v>
      </c>
      <c r="I164" s="51">
        <f>ocurrencias[[#This Row],[conteo]]/ocurrencias[[#Totals],[conteo]]</f>
        <v>2.4985882976118493E-5</v>
      </c>
      <c r="J164" s="50">
        <f>365*ocurrencias[[#This Row],[conteo]]/ocurrencias[[#Totals],[conteo]]</f>
        <v>9.1198472862832492E-3</v>
      </c>
      <c r="K164">
        <v>2.4985882976118401E-3</v>
      </c>
    </row>
    <row r="165" spans="1:11" x14ac:dyDescent="0.3">
      <c r="A165" t="s">
        <v>157</v>
      </c>
      <c r="B165" t="s">
        <v>169</v>
      </c>
      <c r="C165" t="s">
        <v>19</v>
      </c>
      <c r="D165" t="str">
        <f>VLOOKUP(ocurrencias[[#This Row],[Dir]],'Rosa 16'!$B$1:$G$17,4,FALSE)</f>
        <v>258,75° – 281,25°</v>
      </c>
      <c r="E165">
        <v>9</v>
      </c>
      <c r="F165" s="50">
        <v>2.1855555555555499</v>
      </c>
      <c r="G165">
        <v>21.08</v>
      </c>
      <c r="H165" s="50">
        <v>270.444444444444</v>
      </c>
      <c r="I165" s="51">
        <f>ocurrencias[[#This Row],[conteo]]/ocurrencias[[#Totals],[conteo]]</f>
        <v>2.2487294678506643E-5</v>
      </c>
      <c r="J165" s="50">
        <f>365*ocurrencias[[#This Row],[conteo]]/ocurrencias[[#Totals],[conteo]]</f>
        <v>8.2078625576549255E-3</v>
      </c>
      <c r="K165">
        <v>2.2487294678506602E-3</v>
      </c>
    </row>
    <row r="166" spans="1:11" x14ac:dyDescent="0.3">
      <c r="A166" t="s">
        <v>157</v>
      </c>
      <c r="B166" t="s">
        <v>170</v>
      </c>
      <c r="C166" t="s">
        <v>15</v>
      </c>
      <c r="D166" t="str">
        <f>VLOOKUP(ocurrencias[[#This Row],[Dir]],'Rosa 16'!$B$1:$G$17,4,FALSE)</f>
        <v>168,75° – 191,25°</v>
      </c>
      <c r="E166">
        <v>9</v>
      </c>
      <c r="F166" s="50">
        <v>2.2211111111111101</v>
      </c>
      <c r="G166" s="50">
        <v>23.565555555555498</v>
      </c>
      <c r="H166" s="50">
        <v>188.444444444444</v>
      </c>
      <c r="I166" s="51">
        <f>ocurrencias[[#This Row],[conteo]]/ocurrencias[[#Totals],[conteo]]</f>
        <v>2.2487294678506643E-5</v>
      </c>
      <c r="J166" s="50">
        <f>365*ocurrencias[[#This Row],[conteo]]/ocurrencias[[#Totals],[conteo]]</f>
        <v>8.2078625576549255E-3</v>
      </c>
      <c r="K166">
        <v>2.2487294678506602E-3</v>
      </c>
    </row>
    <row r="167" spans="1:11" x14ac:dyDescent="0.3">
      <c r="A167" t="s">
        <v>161</v>
      </c>
      <c r="B167" t="s">
        <v>166</v>
      </c>
      <c r="C167" t="s">
        <v>15</v>
      </c>
      <c r="D167" t="str">
        <f>VLOOKUP(ocurrencias[[#This Row],[Dir]],'Rosa 16'!$B$1:$G$17,4,FALSE)</f>
        <v>168,75° – 191,25°</v>
      </c>
      <c r="E167">
        <v>9</v>
      </c>
      <c r="F167" s="50">
        <v>4.2399999999999904</v>
      </c>
      <c r="G167" s="50">
        <v>11.4366666666666</v>
      </c>
      <c r="H167" s="50">
        <v>179.111111111111</v>
      </c>
      <c r="I167" s="51">
        <f>ocurrencias[[#This Row],[conteo]]/ocurrencias[[#Totals],[conteo]]</f>
        <v>2.2487294678506643E-5</v>
      </c>
      <c r="J167" s="50">
        <f>365*ocurrencias[[#This Row],[conteo]]/ocurrencias[[#Totals],[conteo]]</f>
        <v>8.2078625576549255E-3</v>
      </c>
      <c r="K167">
        <v>2.2487294678506602E-3</v>
      </c>
    </row>
    <row r="168" spans="1:11" x14ac:dyDescent="0.3">
      <c r="A168" t="s">
        <v>162</v>
      </c>
      <c r="B168" t="s">
        <v>168</v>
      </c>
      <c r="C168" t="s">
        <v>17</v>
      </c>
      <c r="D168" t="str">
        <f>VLOOKUP(ocurrencias[[#This Row],[Dir]],'Rosa 16'!$B$1:$G$17,4,FALSE)</f>
        <v>213,75° – 236,25°</v>
      </c>
      <c r="E168">
        <v>9</v>
      </c>
      <c r="F168" s="50">
        <v>4.5644444444444403</v>
      </c>
      <c r="G168" s="50">
        <v>18.685555555555499</v>
      </c>
      <c r="H168" s="50">
        <v>218.111111111111</v>
      </c>
      <c r="I168" s="51">
        <f>ocurrencias[[#This Row],[conteo]]/ocurrencias[[#Totals],[conteo]]</f>
        <v>2.2487294678506643E-5</v>
      </c>
      <c r="J168" s="50">
        <f>365*ocurrencias[[#This Row],[conteo]]/ocurrencias[[#Totals],[conteo]]</f>
        <v>8.2078625576549255E-3</v>
      </c>
      <c r="K168">
        <v>2.2487294678506602E-3</v>
      </c>
    </row>
    <row r="169" spans="1:11" x14ac:dyDescent="0.3">
      <c r="A169" t="s">
        <v>157</v>
      </c>
      <c r="B169" t="s">
        <v>170</v>
      </c>
      <c r="C169" t="s">
        <v>20</v>
      </c>
      <c r="D169" t="str">
        <f>VLOOKUP(ocurrencias[[#This Row],[Dir]],'Rosa 16'!$B$1:$G$17,4,FALSE)</f>
        <v>281,25° – 303,75°</v>
      </c>
      <c r="E169">
        <v>8</v>
      </c>
      <c r="F169">
        <v>2.0724999999999998</v>
      </c>
      <c r="G169">
        <v>23.397500000000001</v>
      </c>
      <c r="H169">
        <v>303</v>
      </c>
      <c r="I169" s="51">
        <f>ocurrencias[[#This Row],[conteo]]/ocurrencias[[#Totals],[conteo]]</f>
        <v>1.9988706380894796E-5</v>
      </c>
      <c r="J169" s="50">
        <f>365*ocurrencias[[#This Row],[conteo]]/ocurrencias[[#Totals],[conteo]]</f>
        <v>7.2958778290266001E-3</v>
      </c>
      <c r="K169">
        <v>1.99887063808947E-3</v>
      </c>
    </row>
    <row r="170" spans="1:11" x14ac:dyDescent="0.3">
      <c r="A170" t="s">
        <v>159</v>
      </c>
      <c r="B170" t="s">
        <v>170</v>
      </c>
      <c r="C170" t="s">
        <v>16</v>
      </c>
      <c r="D170" t="str">
        <f>VLOOKUP(ocurrencias[[#This Row],[Dir]],'Rosa 16'!$B$1:$G$17,4,FALSE)</f>
        <v>191,25° – 213,75°</v>
      </c>
      <c r="E170">
        <v>8</v>
      </c>
      <c r="F170">
        <v>3.1825000000000001</v>
      </c>
      <c r="G170" s="50">
        <v>23.466249999999999</v>
      </c>
      <c r="H170">
        <v>210.25</v>
      </c>
      <c r="I170" s="51">
        <f>ocurrencias[[#This Row],[conteo]]/ocurrencias[[#Totals],[conteo]]</f>
        <v>1.9988706380894796E-5</v>
      </c>
      <c r="J170" s="50">
        <f>365*ocurrencias[[#This Row],[conteo]]/ocurrencias[[#Totals],[conteo]]</f>
        <v>7.2958778290266001E-3</v>
      </c>
      <c r="K170">
        <v>1.99887063808947E-3</v>
      </c>
    </row>
    <row r="171" spans="1:11" x14ac:dyDescent="0.3">
      <c r="A171" t="s">
        <v>156</v>
      </c>
      <c r="B171" t="s">
        <v>169</v>
      </c>
      <c r="C171" t="s">
        <v>15</v>
      </c>
      <c r="D171" t="str">
        <f>VLOOKUP(ocurrencias[[#This Row],[Dir]],'Rosa 16'!$B$1:$G$17,4,FALSE)</f>
        <v>168,75° – 191,25°</v>
      </c>
      <c r="E171">
        <v>7</v>
      </c>
      <c r="F171" s="50">
        <v>1.5685714285714201</v>
      </c>
      <c r="G171" s="50">
        <v>20.8442857142857</v>
      </c>
      <c r="H171" s="50">
        <v>187.28571428571399</v>
      </c>
      <c r="I171" s="51">
        <f>ocurrencias[[#This Row],[conteo]]/ocurrencias[[#Totals],[conteo]]</f>
        <v>1.7490118083282946E-5</v>
      </c>
      <c r="J171" s="50">
        <f>365*ocurrencias[[#This Row],[conteo]]/ocurrencias[[#Totals],[conteo]]</f>
        <v>6.3838931003982746E-3</v>
      </c>
      <c r="K171">
        <v>1.7490118083282899E-3</v>
      </c>
    </row>
    <row r="172" spans="1:11" x14ac:dyDescent="0.3">
      <c r="A172" t="s">
        <v>160</v>
      </c>
      <c r="B172" t="s">
        <v>167</v>
      </c>
      <c r="C172" t="s">
        <v>15</v>
      </c>
      <c r="D172" t="str">
        <f>VLOOKUP(ocurrencias[[#This Row],[Dir]],'Rosa 16'!$B$1:$G$17,4,FALSE)</f>
        <v>168,75° – 191,25°</v>
      </c>
      <c r="E172">
        <v>7</v>
      </c>
      <c r="F172" s="50">
        <v>3.51</v>
      </c>
      <c r="G172" s="50">
        <v>15.3585714285714</v>
      </c>
      <c r="H172" s="50">
        <v>187.57142857142799</v>
      </c>
      <c r="I172" s="51">
        <f>ocurrencias[[#This Row],[conteo]]/ocurrencias[[#Totals],[conteo]]</f>
        <v>1.7490118083282946E-5</v>
      </c>
      <c r="J172" s="50">
        <f>365*ocurrencias[[#This Row],[conteo]]/ocurrencias[[#Totals],[conteo]]</f>
        <v>6.3838931003982746E-3</v>
      </c>
      <c r="K172">
        <v>1.7490118083282899E-3</v>
      </c>
    </row>
    <row r="173" spans="1:11" x14ac:dyDescent="0.3">
      <c r="A173" t="s">
        <v>162</v>
      </c>
      <c r="B173" t="s">
        <v>166</v>
      </c>
      <c r="C173" t="s">
        <v>15</v>
      </c>
      <c r="D173" t="str">
        <f>VLOOKUP(ocurrencias[[#This Row],[Dir]],'Rosa 16'!$B$1:$G$17,4,FALSE)</f>
        <v>168,75° – 191,25°</v>
      </c>
      <c r="E173">
        <v>7</v>
      </c>
      <c r="F173" s="50">
        <v>4.7271428571428498</v>
      </c>
      <c r="G173" s="50">
        <v>11.3271428571428</v>
      </c>
      <c r="H173" s="50">
        <v>177.85714285714201</v>
      </c>
      <c r="I173" s="51">
        <f>ocurrencias[[#This Row],[conteo]]/ocurrencias[[#Totals],[conteo]]</f>
        <v>1.7490118083282946E-5</v>
      </c>
      <c r="J173" s="50">
        <f>365*ocurrencias[[#This Row],[conteo]]/ocurrencias[[#Totals],[conteo]]</f>
        <v>6.3838931003982746E-3</v>
      </c>
      <c r="K173">
        <v>1.7490118083282899E-3</v>
      </c>
    </row>
    <row r="174" spans="1:11" x14ac:dyDescent="0.3">
      <c r="A174" t="s">
        <v>154</v>
      </c>
      <c r="B174" t="s">
        <v>163</v>
      </c>
      <c r="C174" t="s">
        <v>15</v>
      </c>
      <c r="D174" t="str">
        <f>VLOOKUP(ocurrencias[[#This Row],[Dir]],'Rosa 16'!$B$1:$G$17,4,FALSE)</f>
        <v>168,75° – 191,25°</v>
      </c>
      <c r="E174">
        <v>6</v>
      </c>
      <c r="F174" s="50">
        <v>0.82833333333333303</v>
      </c>
      <c r="G174" s="50">
        <v>4.74166666666666</v>
      </c>
      <c r="H174">
        <v>174.5</v>
      </c>
      <c r="I174" s="51">
        <f>ocurrencias[[#This Row],[conteo]]/ocurrencias[[#Totals],[conteo]]</f>
        <v>1.4991529785671095E-5</v>
      </c>
      <c r="J174" s="50">
        <f>365*ocurrencias[[#This Row],[conteo]]/ocurrencias[[#Totals],[conteo]]</f>
        <v>5.47190837176995E-3</v>
      </c>
      <c r="K174">
        <v>1.4991529785671001E-3</v>
      </c>
    </row>
    <row r="175" spans="1:11" x14ac:dyDescent="0.3">
      <c r="A175" t="s">
        <v>154</v>
      </c>
      <c r="B175" t="s">
        <v>166</v>
      </c>
      <c r="C175" t="s">
        <v>17</v>
      </c>
      <c r="D175" t="str">
        <f>VLOOKUP(ocurrencias[[#This Row],[Dir]],'Rosa 16'!$B$1:$G$17,4,FALSE)</f>
        <v>213,75° – 236,25°</v>
      </c>
      <c r="E175">
        <v>6</v>
      </c>
      <c r="F175" s="50">
        <v>0.92166666666666597</v>
      </c>
      <c r="G175" s="50">
        <v>11.909999999999901</v>
      </c>
      <c r="H175">
        <v>223</v>
      </c>
      <c r="I175" s="51">
        <f>ocurrencias[[#This Row],[conteo]]/ocurrencias[[#Totals],[conteo]]</f>
        <v>1.4991529785671095E-5</v>
      </c>
      <c r="J175" s="50">
        <f>365*ocurrencias[[#This Row],[conteo]]/ocurrencias[[#Totals],[conteo]]</f>
        <v>5.47190837176995E-3</v>
      </c>
      <c r="K175">
        <v>1.4991529785671001E-3</v>
      </c>
    </row>
    <row r="176" spans="1:11" x14ac:dyDescent="0.3">
      <c r="A176" t="s">
        <v>155</v>
      </c>
      <c r="B176" t="s">
        <v>170</v>
      </c>
      <c r="C176" t="s">
        <v>74</v>
      </c>
      <c r="D176" t="str">
        <f>VLOOKUP(ocurrencias[[#This Row],[Dir]],'Rosa 16'!$B$1:$G$17,4,FALSE)</f>
        <v>303,75° – 326,25°</v>
      </c>
      <c r="E176">
        <v>6</v>
      </c>
      <c r="F176" s="50">
        <v>1.3983333333333301</v>
      </c>
      <c r="G176">
        <v>23.26</v>
      </c>
      <c r="H176">
        <v>304</v>
      </c>
      <c r="I176" s="51">
        <f>ocurrencias[[#This Row],[conteo]]/ocurrencias[[#Totals],[conteo]]</f>
        <v>1.4991529785671095E-5</v>
      </c>
      <c r="J176" s="50">
        <f>365*ocurrencias[[#This Row],[conteo]]/ocurrencias[[#Totals],[conteo]]</f>
        <v>5.47190837176995E-3</v>
      </c>
      <c r="K176">
        <v>1.4991529785671001E-3</v>
      </c>
    </row>
    <row r="177" spans="1:11" x14ac:dyDescent="0.3">
      <c r="A177" t="s">
        <v>156</v>
      </c>
      <c r="B177" t="s">
        <v>165</v>
      </c>
      <c r="C177" t="s">
        <v>20</v>
      </c>
      <c r="D177" t="str">
        <f>VLOOKUP(ocurrencias[[#This Row],[Dir]],'Rosa 16'!$B$1:$G$17,4,FALSE)</f>
        <v>281,25° – 303,75°</v>
      </c>
      <c r="E177">
        <v>6</v>
      </c>
      <c r="F177" s="50">
        <v>1.8016666666666601</v>
      </c>
      <c r="G177">
        <v>10.89</v>
      </c>
      <c r="H177" s="50">
        <v>297.166666666666</v>
      </c>
      <c r="I177" s="51">
        <f>ocurrencias[[#This Row],[conteo]]/ocurrencias[[#Totals],[conteo]]</f>
        <v>1.4991529785671095E-5</v>
      </c>
      <c r="J177" s="50">
        <f>365*ocurrencias[[#This Row],[conteo]]/ocurrencias[[#Totals],[conteo]]</f>
        <v>5.47190837176995E-3</v>
      </c>
      <c r="K177">
        <v>1.4991529785671001E-3</v>
      </c>
    </row>
    <row r="178" spans="1:11" x14ac:dyDescent="0.3">
      <c r="A178" t="s">
        <v>159</v>
      </c>
      <c r="B178" t="s">
        <v>168</v>
      </c>
      <c r="C178" t="s">
        <v>19</v>
      </c>
      <c r="D178" t="str">
        <f>VLOOKUP(ocurrencias[[#This Row],[Dir]],'Rosa 16'!$B$1:$G$17,4,FALSE)</f>
        <v>258,75° – 281,25°</v>
      </c>
      <c r="E178">
        <v>6</v>
      </c>
      <c r="F178" s="50">
        <v>3.0283333333333302</v>
      </c>
      <c r="G178" s="50">
        <v>17.646666666666601</v>
      </c>
      <c r="H178" s="50">
        <v>270.83333333333297</v>
      </c>
      <c r="I178" s="51">
        <f>ocurrencias[[#This Row],[conteo]]/ocurrencias[[#Totals],[conteo]]</f>
        <v>1.4991529785671095E-5</v>
      </c>
      <c r="J178" s="50">
        <f>365*ocurrencias[[#This Row],[conteo]]/ocurrencias[[#Totals],[conteo]]</f>
        <v>5.47190837176995E-3</v>
      </c>
      <c r="K178">
        <v>1.4991529785671001E-3</v>
      </c>
    </row>
    <row r="179" spans="1:11" x14ac:dyDescent="0.3">
      <c r="A179" t="s">
        <v>155</v>
      </c>
      <c r="B179" t="s">
        <v>169</v>
      </c>
      <c r="C179" t="s">
        <v>16</v>
      </c>
      <c r="D179" t="str">
        <f>VLOOKUP(ocurrencias[[#This Row],[Dir]],'Rosa 16'!$B$1:$G$17,4,FALSE)</f>
        <v>191,25° – 213,75°</v>
      </c>
      <c r="E179">
        <v>5</v>
      </c>
      <c r="F179">
        <v>1.462</v>
      </c>
      <c r="G179">
        <v>21.463999999999999</v>
      </c>
      <c r="H179">
        <v>198.4</v>
      </c>
      <c r="I179" s="51">
        <f>ocurrencias[[#This Row],[conteo]]/ocurrencias[[#Totals],[conteo]]</f>
        <v>1.2492941488059247E-5</v>
      </c>
      <c r="J179" s="50">
        <f>365*ocurrencias[[#This Row],[conteo]]/ocurrencias[[#Totals],[conteo]]</f>
        <v>4.5599236431416246E-3</v>
      </c>
      <c r="K179">
        <v>1.24929414880592E-3</v>
      </c>
    </row>
    <row r="180" spans="1:11" x14ac:dyDescent="0.3">
      <c r="A180" t="s">
        <v>155</v>
      </c>
      <c r="B180" t="s">
        <v>170</v>
      </c>
      <c r="C180" t="s">
        <v>17</v>
      </c>
      <c r="D180" t="str">
        <f>VLOOKUP(ocurrencias[[#This Row],[Dir]],'Rosa 16'!$B$1:$G$17,4,FALSE)</f>
        <v>213,75° – 236,25°</v>
      </c>
      <c r="E180">
        <v>5</v>
      </c>
      <c r="F180">
        <v>1.44</v>
      </c>
      <c r="G180">
        <v>23.37</v>
      </c>
      <c r="H180">
        <v>215.4</v>
      </c>
      <c r="I180" s="51">
        <f>ocurrencias[[#This Row],[conteo]]/ocurrencias[[#Totals],[conteo]]</f>
        <v>1.2492941488059247E-5</v>
      </c>
      <c r="J180" s="50">
        <f>365*ocurrencias[[#This Row],[conteo]]/ocurrencias[[#Totals],[conteo]]</f>
        <v>4.5599236431416246E-3</v>
      </c>
      <c r="K180">
        <v>1.24929414880592E-3</v>
      </c>
    </row>
    <row r="181" spans="1:11" x14ac:dyDescent="0.3">
      <c r="A181" t="s">
        <v>157</v>
      </c>
      <c r="B181" t="s">
        <v>169</v>
      </c>
      <c r="C181" t="s">
        <v>18</v>
      </c>
      <c r="D181" t="str">
        <f>VLOOKUP(ocurrencias[[#This Row],[Dir]],'Rosa 16'!$B$1:$G$17,4,FALSE)</f>
        <v>236,25° – 258,75°</v>
      </c>
      <c r="E181">
        <v>5</v>
      </c>
      <c r="F181">
        <v>2.1480000000000001</v>
      </c>
      <c r="G181">
        <v>21.05</v>
      </c>
      <c r="H181">
        <v>246</v>
      </c>
      <c r="I181" s="51">
        <f>ocurrencias[[#This Row],[conteo]]/ocurrencias[[#Totals],[conteo]]</f>
        <v>1.2492941488059247E-5</v>
      </c>
      <c r="J181" s="50">
        <f>365*ocurrencias[[#This Row],[conteo]]/ocurrencias[[#Totals],[conteo]]</f>
        <v>4.5599236431416246E-3</v>
      </c>
      <c r="K181">
        <v>1.24929414880592E-3</v>
      </c>
    </row>
    <row r="182" spans="1:11" x14ac:dyDescent="0.3">
      <c r="A182" t="s">
        <v>159</v>
      </c>
      <c r="B182" t="s">
        <v>165</v>
      </c>
      <c r="C182" t="s">
        <v>14</v>
      </c>
      <c r="D182" t="str">
        <f>VLOOKUP(ocurrencias[[#This Row],[Dir]],'Rosa 16'!$B$1:$G$17,4,FALSE)</f>
        <v>146,25° – 168,75°</v>
      </c>
      <c r="E182">
        <v>5</v>
      </c>
      <c r="F182" s="50">
        <v>3.45799999999999</v>
      </c>
      <c r="G182">
        <v>8.8339999999999996</v>
      </c>
      <c r="H182">
        <v>166.8</v>
      </c>
      <c r="I182" s="51">
        <f>ocurrencias[[#This Row],[conteo]]/ocurrencias[[#Totals],[conteo]]</f>
        <v>1.2492941488059247E-5</v>
      </c>
      <c r="J182" s="50">
        <f>365*ocurrencias[[#This Row],[conteo]]/ocurrencias[[#Totals],[conteo]]</f>
        <v>4.5599236431416246E-3</v>
      </c>
      <c r="K182">
        <v>1.24929414880592E-3</v>
      </c>
    </row>
    <row r="183" spans="1:11" x14ac:dyDescent="0.3">
      <c r="A183" t="s">
        <v>159</v>
      </c>
      <c r="B183" t="s">
        <v>169</v>
      </c>
      <c r="C183" t="s">
        <v>18</v>
      </c>
      <c r="D183" t="str">
        <f>VLOOKUP(ocurrencias[[#This Row],[Dir]],'Rosa 16'!$B$1:$G$17,4,FALSE)</f>
        <v>236,25° – 258,75°</v>
      </c>
      <c r="E183">
        <v>5</v>
      </c>
      <c r="F183" s="50">
        <v>3.234</v>
      </c>
      <c r="G183">
        <v>21.19</v>
      </c>
      <c r="H183">
        <v>242</v>
      </c>
      <c r="I183" s="51">
        <f>ocurrencias[[#This Row],[conteo]]/ocurrencias[[#Totals],[conteo]]</f>
        <v>1.2492941488059247E-5</v>
      </c>
      <c r="J183" s="50">
        <f>365*ocurrencias[[#This Row],[conteo]]/ocurrencias[[#Totals],[conteo]]</f>
        <v>4.5599236431416246E-3</v>
      </c>
      <c r="K183">
        <v>1.24929414880592E-3</v>
      </c>
    </row>
    <row r="184" spans="1:11" x14ac:dyDescent="0.3">
      <c r="A184" t="s">
        <v>159</v>
      </c>
      <c r="B184" t="s">
        <v>170</v>
      </c>
      <c r="C184" t="s">
        <v>17</v>
      </c>
      <c r="D184" t="str">
        <f>VLOOKUP(ocurrencias[[#This Row],[Dir]],'Rosa 16'!$B$1:$G$17,4,FALSE)</f>
        <v>213,75° – 236,25°</v>
      </c>
      <c r="E184">
        <v>5</v>
      </c>
      <c r="F184">
        <v>3.0419999999999998</v>
      </c>
      <c r="G184">
        <v>23.37</v>
      </c>
      <c r="H184">
        <v>219.8</v>
      </c>
      <c r="I184" s="51">
        <f>ocurrencias[[#This Row],[conteo]]/ocurrencias[[#Totals],[conteo]]</f>
        <v>1.2492941488059247E-5</v>
      </c>
      <c r="J184" s="50">
        <f>365*ocurrencias[[#This Row],[conteo]]/ocurrencias[[#Totals],[conteo]]</f>
        <v>4.5599236431416246E-3</v>
      </c>
      <c r="K184">
        <v>1.24929414880592E-3</v>
      </c>
    </row>
    <row r="185" spans="1:11" x14ac:dyDescent="0.3">
      <c r="A185" t="s">
        <v>154</v>
      </c>
      <c r="B185" t="s">
        <v>165</v>
      </c>
      <c r="C185" t="s">
        <v>17</v>
      </c>
      <c r="D185" t="str">
        <f>VLOOKUP(ocurrencias[[#This Row],[Dir]],'Rosa 16'!$B$1:$G$17,4,FALSE)</f>
        <v>213,75° – 236,25°</v>
      </c>
      <c r="E185">
        <v>4</v>
      </c>
      <c r="F185">
        <v>0.96750000000000003</v>
      </c>
      <c r="G185">
        <v>10.87</v>
      </c>
      <c r="H185">
        <v>230.25</v>
      </c>
      <c r="I185" s="51">
        <f>ocurrencias[[#This Row],[conteo]]/ocurrencias[[#Totals],[conteo]]</f>
        <v>9.9943531904473979E-6</v>
      </c>
      <c r="J185" s="50">
        <f>365*ocurrencias[[#This Row],[conteo]]/ocurrencias[[#Totals],[conteo]]</f>
        <v>3.6479389145133E-3</v>
      </c>
      <c r="K185">
        <v>9.994353190447391E-4</v>
      </c>
    </row>
    <row r="186" spans="1:11" x14ac:dyDescent="0.3">
      <c r="A186" t="s">
        <v>154</v>
      </c>
      <c r="B186" t="s">
        <v>166</v>
      </c>
      <c r="C186" t="s">
        <v>16</v>
      </c>
      <c r="D186" t="str">
        <f>VLOOKUP(ocurrencias[[#This Row],[Dir]],'Rosa 16'!$B$1:$G$17,4,FALSE)</f>
        <v>191,25° – 213,75°</v>
      </c>
      <c r="E186">
        <v>4</v>
      </c>
      <c r="F186">
        <v>0.9425</v>
      </c>
      <c r="G186">
        <v>13.074999999999999</v>
      </c>
      <c r="H186">
        <v>212.5</v>
      </c>
      <c r="I186" s="51">
        <f>ocurrencias[[#This Row],[conteo]]/ocurrencias[[#Totals],[conteo]]</f>
        <v>9.9943531904473979E-6</v>
      </c>
      <c r="J186" s="50">
        <f>365*ocurrencias[[#This Row],[conteo]]/ocurrencias[[#Totals],[conteo]]</f>
        <v>3.6479389145133E-3</v>
      </c>
      <c r="K186">
        <v>9.994353190447391E-4</v>
      </c>
    </row>
    <row r="187" spans="1:11" x14ac:dyDescent="0.3">
      <c r="A187" t="s">
        <v>156</v>
      </c>
      <c r="B187" t="s">
        <v>164</v>
      </c>
      <c r="C187" t="s">
        <v>18</v>
      </c>
      <c r="D187" t="str">
        <f>VLOOKUP(ocurrencias[[#This Row],[Dir]],'Rosa 16'!$B$1:$G$17,4,FALSE)</f>
        <v>236,25° – 258,75°</v>
      </c>
      <c r="E187">
        <v>4</v>
      </c>
      <c r="F187">
        <v>1.9724999999999999</v>
      </c>
      <c r="G187">
        <v>6.23</v>
      </c>
      <c r="H187">
        <v>240.25</v>
      </c>
      <c r="I187" s="51">
        <f>ocurrencias[[#This Row],[conteo]]/ocurrencias[[#Totals],[conteo]]</f>
        <v>9.9943531904473979E-6</v>
      </c>
      <c r="J187" s="50">
        <f>365*ocurrencias[[#This Row],[conteo]]/ocurrencias[[#Totals],[conteo]]</f>
        <v>3.6479389145133E-3</v>
      </c>
      <c r="K187">
        <v>9.994353190447391E-4</v>
      </c>
    </row>
    <row r="188" spans="1:11" x14ac:dyDescent="0.3">
      <c r="A188" t="s">
        <v>156</v>
      </c>
      <c r="B188" t="s">
        <v>166</v>
      </c>
      <c r="C188" t="s">
        <v>14</v>
      </c>
      <c r="D188" t="str">
        <f>VLOOKUP(ocurrencias[[#This Row],[Dir]],'Rosa 16'!$B$1:$G$17,4,FALSE)</f>
        <v>146,25° – 168,75°</v>
      </c>
      <c r="E188">
        <v>4</v>
      </c>
      <c r="F188" s="50">
        <v>1.5699999999999901</v>
      </c>
      <c r="G188">
        <v>12.2</v>
      </c>
      <c r="H188">
        <v>162.5</v>
      </c>
      <c r="I188" s="51">
        <f>ocurrencias[[#This Row],[conteo]]/ocurrencias[[#Totals],[conteo]]</f>
        <v>9.9943531904473979E-6</v>
      </c>
      <c r="J188" s="50">
        <f>365*ocurrencias[[#This Row],[conteo]]/ocurrencias[[#Totals],[conteo]]</f>
        <v>3.6479389145133E-3</v>
      </c>
      <c r="K188">
        <v>9.994353190447391E-4</v>
      </c>
    </row>
    <row r="189" spans="1:11" x14ac:dyDescent="0.3">
      <c r="A189" t="s">
        <v>157</v>
      </c>
      <c r="B189" t="s">
        <v>164</v>
      </c>
      <c r="C189" t="s">
        <v>14</v>
      </c>
      <c r="D189" t="str">
        <f>VLOOKUP(ocurrencias[[#This Row],[Dir]],'Rosa 16'!$B$1:$G$17,4,FALSE)</f>
        <v>146,25° – 168,75°</v>
      </c>
      <c r="E189">
        <v>4</v>
      </c>
      <c r="F189">
        <v>2.41</v>
      </c>
      <c r="G189">
        <v>7.6749999999999998</v>
      </c>
      <c r="H189">
        <v>167.75</v>
      </c>
      <c r="I189" s="51">
        <f>ocurrencias[[#This Row],[conteo]]/ocurrencias[[#Totals],[conteo]]</f>
        <v>9.9943531904473979E-6</v>
      </c>
      <c r="J189" s="50">
        <f>365*ocurrencias[[#This Row],[conteo]]/ocurrencias[[#Totals],[conteo]]</f>
        <v>3.6479389145133E-3</v>
      </c>
      <c r="K189">
        <v>9.994353190447391E-4</v>
      </c>
    </row>
    <row r="190" spans="1:11" x14ac:dyDescent="0.3">
      <c r="A190" t="s">
        <v>157</v>
      </c>
      <c r="B190" t="s">
        <v>170</v>
      </c>
      <c r="C190" t="s">
        <v>74</v>
      </c>
      <c r="D190" t="str">
        <f>VLOOKUP(ocurrencias[[#This Row],[Dir]],'Rosa 16'!$B$1:$G$17,4,FALSE)</f>
        <v>303,75° – 326,25°</v>
      </c>
      <c r="E190">
        <v>4</v>
      </c>
      <c r="F190">
        <v>2.1225000000000001</v>
      </c>
      <c r="G190">
        <v>23.672499999999999</v>
      </c>
      <c r="H190">
        <v>304</v>
      </c>
      <c r="I190" s="51">
        <f>ocurrencias[[#This Row],[conteo]]/ocurrencias[[#Totals],[conteo]]</f>
        <v>9.9943531904473979E-6</v>
      </c>
      <c r="J190" s="50">
        <f>365*ocurrencias[[#This Row],[conteo]]/ocurrencias[[#Totals],[conteo]]</f>
        <v>3.6479389145133E-3</v>
      </c>
      <c r="K190">
        <v>9.994353190447391E-4</v>
      </c>
    </row>
    <row r="191" spans="1:11" x14ac:dyDescent="0.3">
      <c r="A191" t="s">
        <v>158</v>
      </c>
      <c r="B191" t="s">
        <v>167</v>
      </c>
      <c r="C191" t="s">
        <v>20</v>
      </c>
      <c r="D191" t="str">
        <f>VLOOKUP(ocurrencias[[#This Row],[Dir]],'Rosa 16'!$B$1:$G$17,4,FALSE)</f>
        <v>281,25° – 303,75°</v>
      </c>
      <c r="E191">
        <v>4</v>
      </c>
      <c r="F191">
        <v>2.5274999999999999</v>
      </c>
      <c r="G191">
        <v>16.13</v>
      </c>
      <c r="H191">
        <v>282.75</v>
      </c>
      <c r="I191" s="51">
        <f>ocurrencias[[#This Row],[conteo]]/ocurrencias[[#Totals],[conteo]]</f>
        <v>9.9943531904473979E-6</v>
      </c>
      <c r="J191" s="50">
        <f>365*ocurrencias[[#This Row],[conteo]]/ocurrencias[[#Totals],[conteo]]</f>
        <v>3.6479389145133E-3</v>
      </c>
      <c r="K191">
        <v>9.994353190447391E-4</v>
      </c>
    </row>
    <row r="192" spans="1:11" x14ac:dyDescent="0.3">
      <c r="A192" t="s">
        <v>160</v>
      </c>
      <c r="B192" t="s">
        <v>165</v>
      </c>
      <c r="C192" t="s">
        <v>14</v>
      </c>
      <c r="D192" t="str">
        <f>VLOOKUP(ocurrencias[[#This Row],[Dir]],'Rosa 16'!$B$1:$G$17,4,FALSE)</f>
        <v>146,25° – 168,75°</v>
      </c>
      <c r="E192">
        <v>4</v>
      </c>
      <c r="F192" s="50">
        <v>3.5774999999999899</v>
      </c>
      <c r="G192">
        <v>8.85</v>
      </c>
      <c r="H192">
        <v>166.25</v>
      </c>
      <c r="I192" s="51">
        <f>ocurrencias[[#This Row],[conteo]]/ocurrencias[[#Totals],[conteo]]</f>
        <v>9.9943531904473979E-6</v>
      </c>
      <c r="J192" s="50">
        <f>365*ocurrencias[[#This Row],[conteo]]/ocurrencias[[#Totals],[conteo]]</f>
        <v>3.6479389145133E-3</v>
      </c>
      <c r="K192">
        <v>9.994353190447391E-4</v>
      </c>
    </row>
    <row r="193" spans="1:11" x14ac:dyDescent="0.3">
      <c r="A193" t="s">
        <v>161</v>
      </c>
      <c r="B193" t="s">
        <v>169</v>
      </c>
      <c r="C193" t="s">
        <v>16</v>
      </c>
      <c r="D193" t="str">
        <f>VLOOKUP(ocurrencias[[#This Row],[Dir]],'Rosa 16'!$B$1:$G$17,4,FALSE)</f>
        <v>191,25° – 213,75°</v>
      </c>
      <c r="E193">
        <v>4</v>
      </c>
      <c r="F193" s="50">
        <v>4.0124999999999904</v>
      </c>
      <c r="G193">
        <v>20.517499999999998</v>
      </c>
      <c r="H193">
        <v>211.5</v>
      </c>
      <c r="I193" s="51">
        <f>ocurrencias[[#This Row],[conteo]]/ocurrencias[[#Totals],[conteo]]</f>
        <v>9.9943531904473979E-6</v>
      </c>
      <c r="J193" s="50">
        <f>365*ocurrencias[[#This Row],[conteo]]/ocurrencias[[#Totals],[conteo]]</f>
        <v>3.6479389145133E-3</v>
      </c>
      <c r="K193">
        <v>9.994353190447391E-4</v>
      </c>
    </row>
    <row r="194" spans="1:11" x14ac:dyDescent="0.3">
      <c r="A194" t="s">
        <v>156</v>
      </c>
      <c r="B194" t="s">
        <v>164</v>
      </c>
      <c r="C194" t="s">
        <v>17</v>
      </c>
      <c r="D194" t="str">
        <f>VLOOKUP(ocurrencias[[#This Row],[Dir]],'Rosa 16'!$B$1:$G$17,4,FALSE)</f>
        <v>213,75° – 236,25°</v>
      </c>
      <c r="E194">
        <v>3</v>
      </c>
      <c r="F194" s="50">
        <v>1.9766666666666599</v>
      </c>
      <c r="G194" s="50">
        <v>5.9733333333333301</v>
      </c>
      <c r="H194" s="50">
        <v>216.666666666666</v>
      </c>
      <c r="I194" s="51">
        <f>ocurrencias[[#This Row],[conteo]]/ocurrencias[[#Totals],[conteo]]</f>
        <v>7.4957648928355476E-6</v>
      </c>
      <c r="J194" s="50">
        <f>365*ocurrencias[[#This Row],[conteo]]/ocurrencias[[#Totals],[conteo]]</f>
        <v>2.735954185884975E-3</v>
      </c>
      <c r="K194">
        <v>7.4957648928355395E-4</v>
      </c>
    </row>
    <row r="195" spans="1:11" x14ac:dyDescent="0.3">
      <c r="A195" t="s">
        <v>159</v>
      </c>
      <c r="B195" t="s">
        <v>169</v>
      </c>
      <c r="C195" t="s">
        <v>15</v>
      </c>
      <c r="D195" t="str">
        <f>VLOOKUP(ocurrencias[[#This Row],[Dir]],'Rosa 16'!$B$1:$G$17,4,FALSE)</f>
        <v>168,75° – 191,25°</v>
      </c>
      <c r="E195">
        <v>3</v>
      </c>
      <c r="F195" s="50">
        <v>3.2066666666666599</v>
      </c>
      <c r="G195">
        <v>20.84</v>
      </c>
      <c r="H195">
        <v>189</v>
      </c>
      <c r="I195" s="51">
        <f>ocurrencias[[#This Row],[conteo]]/ocurrencias[[#Totals],[conteo]]</f>
        <v>7.4957648928355476E-6</v>
      </c>
      <c r="J195" s="50">
        <f>365*ocurrencias[[#This Row],[conteo]]/ocurrencias[[#Totals],[conteo]]</f>
        <v>2.735954185884975E-3</v>
      </c>
      <c r="K195">
        <v>7.4957648928355395E-4</v>
      </c>
    </row>
    <row r="196" spans="1:11" x14ac:dyDescent="0.3">
      <c r="A196" t="s">
        <v>160</v>
      </c>
      <c r="B196" t="s">
        <v>165</v>
      </c>
      <c r="C196" t="s">
        <v>16</v>
      </c>
      <c r="D196" t="str">
        <f>VLOOKUP(ocurrencias[[#This Row],[Dir]],'Rosa 16'!$B$1:$G$17,4,FALSE)</f>
        <v>191,25° – 213,75°</v>
      </c>
      <c r="E196">
        <v>3</v>
      </c>
      <c r="F196" s="50">
        <v>3.8766666666666598</v>
      </c>
      <c r="G196">
        <v>10.64</v>
      </c>
      <c r="H196">
        <v>192</v>
      </c>
      <c r="I196" s="51">
        <f>ocurrencias[[#This Row],[conteo]]/ocurrencias[[#Totals],[conteo]]</f>
        <v>7.4957648928355476E-6</v>
      </c>
      <c r="J196" s="50">
        <f>365*ocurrencias[[#This Row],[conteo]]/ocurrencias[[#Totals],[conteo]]</f>
        <v>2.735954185884975E-3</v>
      </c>
      <c r="K196">
        <v>7.4957648928355395E-4</v>
      </c>
    </row>
    <row r="197" spans="1:11" x14ac:dyDescent="0.3">
      <c r="A197" t="s">
        <v>154</v>
      </c>
      <c r="B197" t="s">
        <v>169</v>
      </c>
      <c r="C197" t="s">
        <v>17</v>
      </c>
      <c r="D197" t="str">
        <f>VLOOKUP(ocurrencias[[#This Row],[Dir]],'Rosa 16'!$B$1:$G$17,4,FALSE)</f>
        <v>213,75° – 236,25°</v>
      </c>
      <c r="E197">
        <v>2</v>
      </c>
      <c r="F197">
        <v>0.92500000000000004</v>
      </c>
      <c r="G197">
        <v>21.28</v>
      </c>
      <c r="H197">
        <v>217.5</v>
      </c>
      <c r="I197" s="51">
        <f>ocurrencias[[#This Row],[conteo]]/ocurrencias[[#Totals],[conteo]]</f>
        <v>4.997176595223699E-6</v>
      </c>
      <c r="J197" s="50">
        <f>365*ocurrencias[[#This Row],[conteo]]/ocurrencias[[#Totals],[conteo]]</f>
        <v>1.82396945725665E-3</v>
      </c>
      <c r="K197">
        <v>4.9971765952236901E-4</v>
      </c>
    </row>
    <row r="198" spans="1:11" x14ac:dyDescent="0.3">
      <c r="A198" t="s">
        <v>156</v>
      </c>
      <c r="B198" t="s">
        <v>169</v>
      </c>
      <c r="C198" t="s">
        <v>18</v>
      </c>
      <c r="D198" t="str">
        <f>VLOOKUP(ocurrencias[[#This Row],[Dir]],'Rosa 16'!$B$1:$G$17,4,FALSE)</f>
        <v>236,25° – 258,75°</v>
      </c>
      <c r="E198">
        <v>2</v>
      </c>
      <c r="F198">
        <v>1.99</v>
      </c>
      <c r="G198" s="50">
        <v>20.619999999999902</v>
      </c>
      <c r="H198">
        <v>254.5</v>
      </c>
      <c r="I198" s="51">
        <f>ocurrencias[[#This Row],[conteo]]/ocurrencias[[#Totals],[conteo]]</f>
        <v>4.997176595223699E-6</v>
      </c>
      <c r="J198" s="50">
        <f>365*ocurrencias[[#This Row],[conteo]]/ocurrencias[[#Totals],[conteo]]</f>
        <v>1.82396945725665E-3</v>
      </c>
      <c r="K198">
        <v>4.9971765952236901E-4</v>
      </c>
    </row>
    <row r="199" spans="1:11" x14ac:dyDescent="0.3">
      <c r="A199" t="s">
        <v>157</v>
      </c>
      <c r="B199" t="s">
        <v>163</v>
      </c>
      <c r="C199" t="s">
        <v>17</v>
      </c>
      <c r="D199" t="str">
        <f>VLOOKUP(ocurrencias[[#This Row],[Dir]],'Rosa 16'!$B$1:$G$17,4,FALSE)</f>
        <v>213,75° – 236,25°</v>
      </c>
      <c r="E199">
        <v>2</v>
      </c>
      <c r="F199" s="50">
        <v>2.21999999999999</v>
      </c>
      <c r="G199">
        <v>4.9550000000000001</v>
      </c>
      <c r="H199">
        <v>215</v>
      </c>
      <c r="I199" s="51">
        <f>ocurrencias[[#This Row],[conteo]]/ocurrencias[[#Totals],[conteo]]</f>
        <v>4.997176595223699E-6</v>
      </c>
      <c r="J199" s="50">
        <f>365*ocurrencias[[#This Row],[conteo]]/ocurrencias[[#Totals],[conteo]]</f>
        <v>1.82396945725665E-3</v>
      </c>
      <c r="K199">
        <v>4.9971765952236901E-4</v>
      </c>
    </row>
    <row r="200" spans="1:11" x14ac:dyDescent="0.3">
      <c r="A200" t="s">
        <v>157</v>
      </c>
      <c r="B200" t="s">
        <v>171</v>
      </c>
      <c r="C200" t="s">
        <v>17</v>
      </c>
      <c r="D200" t="str">
        <f>VLOOKUP(ocurrencias[[#This Row],[Dir]],'Rosa 16'!$B$1:$G$17,4,FALSE)</f>
        <v>213,75° – 236,25°</v>
      </c>
      <c r="E200">
        <v>2</v>
      </c>
      <c r="F200">
        <v>2.46</v>
      </c>
      <c r="G200">
        <v>26.32</v>
      </c>
      <c r="H200">
        <v>217</v>
      </c>
      <c r="I200" s="51">
        <f>ocurrencias[[#This Row],[conteo]]/ocurrencias[[#Totals],[conteo]]</f>
        <v>4.997176595223699E-6</v>
      </c>
      <c r="J200" s="50">
        <f>365*ocurrencias[[#This Row],[conteo]]/ocurrencias[[#Totals],[conteo]]</f>
        <v>1.82396945725665E-3</v>
      </c>
      <c r="K200">
        <v>4.9971765952236901E-4</v>
      </c>
    </row>
    <row r="201" spans="1:11" x14ac:dyDescent="0.3">
      <c r="A201" t="s">
        <v>158</v>
      </c>
      <c r="B201" t="s">
        <v>169</v>
      </c>
      <c r="C201" t="s">
        <v>18</v>
      </c>
      <c r="D201" t="str">
        <f>VLOOKUP(ocurrencias[[#This Row],[Dir]],'Rosa 16'!$B$1:$G$17,4,FALSE)</f>
        <v>236,25° – 258,75°</v>
      </c>
      <c r="E201">
        <v>2</v>
      </c>
      <c r="F201">
        <v>2.59</v>
      </c>
      <c r="G201" s="50">
        <v>20.869999999999902</v>
      </c>
      <c r="H201">
        <v>241.5</v>
      </c>
      <c r="I201" s="51">
        <f>ocurrencias[[#This Row],[conteo]]/ocurrencias[[#Totals],[conteo]]</f>
        <v>4.997176595223699E-6</v>
      </c>
      <c r="J201" s="50">
        <f>365*ocurrencias[[#This Row],[conteo]]/ocurrencias[[#Totals],[conteo]]</f>
        <v>1.82396945725665E-3</v>
      </c>
      <c r="K201">
        <v>4.9971765952236901E-4</v>
      </c>
    </row>
    <row r="202" spans="1:11" x14ac:dyDescent="0.3">
      <c r="A202" t="s">
        <v>161</v>
      </c>
      <c r="B202" t="s">
        <v>169</v>
      </c>
      <c r="C202" t="s">
        <v>17</v>
      </c>
      <c r="D202" t="str">
        <f>VLOOKUP(ocurrencias[[#This Row],[Dir]],'Rosa 16'!$B$1:$G$17,4,FALSE)</f>
        <v>213,75° – 236,25°</v>
      </c>
      <c r="E202">
        <v>2</v>
      </c>
      <c r="F202" s="50">
        <v>4.05</v>
      </c>
      <c r="G202">
        <v>20.204999999999998</v>
      </c>
      <c r="H202">
        <v>214</v>
      </c>
      <c r="I202" s="51">
        <f>ocurrencias[[#This Row],[conteo]]/ocurrencias[[#Totals],[conteo]]</f>
        <v>4.997176595223699E-6</v>
      </c>
      <c r="J202" s="50">
        <f>365*ocurrencias[[#This Row],[conteo]]/ocurrencias[[#Totals],[conteo]]</f>
        <v>1.82396945725665E-3</v>
      </c>
      <c r="K202">
        <v>4.9971765952236901E-4</v>
      </c>
    </row>
    <row r="203" spans="1:11" x14ac:dyDescent="0.3">
      <c r="A203" t="s">
        <v>154</v>
      </c>
      <c r="B203" t="s">
        <v>168</v>
      </c>
      <c r="C203" t="s">
        <v>15</v>
      </c>
      <c r="D203" t="str">
        <f>VLOOKUP(ocurrencias[[#This Row],[Dir]],'Rosa 16'!$B$1:$G$17,4,FALSE)</f>
        <v>168,75° – 191,25°</v>
      </c>
      <c r="E203">
        <v>1</v>
      </c>
      <c r="F203">
        <v>0.7</v>
      </c>
      <c r="G203">
        <v>17.239999999999998</v>
      </c>
      <c r="H203">
        <v>169</v>
      </c>
      <c r="I203" s="51">
        <f>ocurrencias[[#This Row],[conteo]]/ocurrencias[[#Totals],[conteo]]</f>
        <v>2.4985882976118495E-6</v>
      </c>
      <c r="J203" s="50">
        <f>365*ocurrencias[[#This Row],[conteo]]/ocurrencias[[#Totals],[conteo]]</f>
        <v>9.1198472862832501E-4</v>
      </c>
      <c r="K203">
        <v>2.4985882976118402E-4</v>
      </c>
    </row>
    <row r="204" spans="1:11" x14ac:dyDescent="0.3">
      <c r="A204" t="s">
        <v>154</v>
      </c>
      <c r="B204" t="s">
        <v>168</v>
      </c>
      <c r="C204" t="s">
        <v>17</v>
      </c>
      <c r="D204" t="str">
        <f>VLOOKUP(ocurrencias[[#This Row],[Dir]],'Rosa 16'!$B$1:$G$17,4,FALSE)</f>
        <v>213,75° – 236,25°</v>
      </c>
      <c r="E204">
        <v>1</v>
      </c>
      <c r="F204">
        <v>0.98</v>
      </c>
      <c r="G204">
        <v>19.61</v>
      </c>
      <c r="H204">
        <v>216</v>
      </c>
      <c r="I204" s="51">
        <f>ocurrencias[[#This Row],[conteo]]/ocurrencias[[#Totals],[conteo]]</f>
        <v>2.4985882976118495E-6</v>
      </c>
      <c r="J204" s="50">
        <f>365*ocurrencias[[#This Row],[conteo]]/ocurrencias[[#Totals],[conteo]]</f>
        <v>9.1198472862832501E-4</v>
      </c>
      <c r="K204">
        <v>2.4985882976118402E-4</v>
      </c>
    </row>
    <row r="205" spans="1:11" x14ac:dyDescent="0.3">
      <c r="A205" t="s">
        <v>155</v>
      </c>
      <c r="B205" t="s">
        <v>165</v>
      </c>
      <c r="C205" t="s">
        <v>18</v>
      </c>
      <c r="D205" t="str">
        <f>VLOOKUP(ocurrencias[[#This Row],[Dir]],'Rosa 16'!$B$1:$G$17,4,FALSE)</f>
        <v>236,25° – 258,75°</v>
      </c>
      <c r="E205">
        <v>1</v>
      </c>
      <c r="F205">
        <v>1.42</v>
      </c>
      <c r="G205">
        <v>8.93</v>
      </c>
      <c r="H205">
        <v>241</v>
      </c>
      <c r="I205" s="51">
        <f>ocurrencias[[#This Row],[conteo]]/ocurrencias[[#Totals],[conteo]]</f>
        <v>2.4985882976118495E-6</v>
      </c>
      <c r="J205" s="50">
        <f>365*ocurrencias[[#This Row],[conteo]]/ocurrencias[[#Totals],[conteo]]</f>
        <v>9.1198472862832501E-4</v>
      </c>
      <c r="K205">
        <v>2.4985882976118402E-4</v>
      </c>
    </row>
    <row r="206" spans="1:11" x14ac:dyDescent="0.3">
      <c r="A206" t="s">
        <v>155</v>
      </c>
      <c r="B206" t="s">
        <v>169</v>
      </c>
      <c r="C206" t="s">
        <v>19</v>
      </c>
      <c r="D206" t="str">
        <f>VLOOKUP(ocurrencias[[#This Row],[Dir]],'Rosa 16'!$B$1:$G$17,4,FALSE)</f>
        <v>258,75° – 281,25°</v>
      </c>
      <c r="E206">
        <v>1</v>
      </c>
      <c r="F206">
        <v>1.35</v>
      </c>
      <c r="G206">
        <v>20</v>
      </c>
      <c r="H206">
        <v>280</v>
      </c>
      <c r="I206" s="51">
        <f>ocurrencias[[#This Row],[conteo]]/ocurrencias[[#Totals],[conteo]]</f>
        <v>2.4985882976118495E-6</v>
      </c>
      <c r="J206" s="50">
        <f>365*ocurrencias[[#This Row],[conteo]]/ocurrencias[[#Totals],[conteo]]</f>
        <v>9.1198472862832501E-4</v>
      </c>
      <c r="K206">
        <v>2.4985882976118402E-4</v>
      </c>
    </row>
    <row r="207" spans="1:11" x14ac:dyDescent="0.3">
      <c r="A207" t="s">
        <v>158</v>
      </c>
      <c r="B207" t="s">
        <v>164</v>
      </c>
      <c r="C207" t="s">
        <v>14</v>
      </c>
      <c r="D207" t="str">
        <f>VLOOKUP(ocurrencias[[#This Row],[Dir]],'Rosa 16'!$B$1:$G$17,4,FALSE)</f>
        <v>146,25° – 168,75°</v>
      </c>
      <c r="E207">
        <v>1</v>
      </c>
      <c r="F207">
        <v>2.5099999999999998</v>
      </c>
      <c r="G207">
        <v>7.87</v>
      </c>
      <c r="H207">
        <v>167</v>
      </c>
      <c r="I207" s="51">
        <f>ocurrencias[[#This Row],[conteo]]/ocurrencias[[#Totals],[conteo]]</f>
        <v>2.4985882976118495E-6</v>
      </c>
      <c r="J207" s="50">
        <f>365*ocurrencias[[#This Row],[conteo]]/ocurrencias[[#Totals],[conteo]]</f>
        <v>9.1198472862832501E-4</v>
      </c>
      <c r="K207">
        <v>2.4985882976118402E-4</v>
      </c>
    </row>
    <row r="208" spans="1:11" x14ac:dyDescent="0.3">
      <c r="A208" t="s">
        <v>158</v>
      </c>
      <c r="B208" t="s">
        <v>170</v>
      </c>
      <c r="C208" t="s">
        <v>15</v>
      </c>
      <c r="D208" t="str">
        <f>VLOOKUP(ocurrencias[[#This Row],[Dir]],'Rosa 16'!$B$1:$G$17,4,FALSE)</f>
        <v>168,75° – 191,25°</v>
      </c>
      <c r="E208">
        <v>1</v>
      </c>
      <c r="F208">
        <v>2.5299999999999998</v>
      </c>
      <c r="G208">
        <v>23.26</v>
      </c>
      <c r="H208">
        <v>189</v>
      </c>
      <c r="I208" s="51">
        <f>ocurrencias[[#This Row],[conteo]]/ocurrencias[[#Totals],[conteo]]</f>
        <v>2.4985882976118495E-6</v>
      </c>
      <c r="J208" s="50">
        <f>365*ocurrencias[[#This Row],[conteo]]/ocurrencias[[#Totals],[conteo]]</f>
        <v>9.1198472862832501E-4</v>
      </c>
      <c r="K208">
        <v>2.4985882976118402E-4</v>
      </c>
    </row>
    <row r="209" spans="1:11" x14ac:dyDescent="0.3">
      <c r="A209" t="s">
        <v>160</v>
      </c>
      <c r="B209" t="s">
        <v>168</v>
      </c>
      <c r="C209" t="s">
        <v>15</v>
      </c>
      <c r="D209" t="str">
        <f>VLOOKUP(ocurrencias[[#This Row],[Dir]],'Rosa 16'!$B$1:$G$17,4,FALSE)</f>
        <v>168,75° – 191,25°</v>
      </c>
      <c r="E209">
        <v>1</v>
      </c>
      <c r="F209">
        <v>3.59</v>
      </c>
      <c r="G209">
        <v>19.23</v>
      </c>
      <c r="H209">
        <v>191</v>
      </c>
      <c r="I209" s="51">
        <f>ocurrencias[[#This Row],[conteo]]/ocurrencias[[#Totals],[conteo]]</f>
        <v>2.4985882976118495E-6</v>
      </c>
      <c r="J209" s="50">
        <f>365*ocurrencias[[#This Row],[conteo]]/ocurrencias[[#Totals],[conteo]]</f>
        <v>9.1198472862832501E-4</v>
      </c>
      <c r="K209">
        <v>2.4985882976118402E-4</v>
      </c>
    </row>
    <row r="210" spans="1:11" x14ac:dyDescent="0.3">
      <c r="A210" t="s">
        <v>161</v>
      </c>
      <c r="B210" t="s">
        <v>167</v>
      </c>
      <c r="C210" t="s">
        <v>17</v>
      </c>
      <c r="D210" t="str">
        <f>VLOOKUP(ocurrencias[[#This Row],[Dir]],'Rosa 16'!$B$1:$G$17,4,FALSE)</f>
        <v>213,75° – 236,25°</v>
      </c>
      <c r="E210">
        <v>1</v>
      </c>
      <c r="F210">
        <v>4.03</v>
      </c>
      <c r="G210">
        <v>16.95</v>
      </c>
      <c r="H210">
        <v>218</v>
      </c>
      <c r="I210" s="51">
        <f>ocurrencias[[#This Row],[conteo]]/ocurrencias[[#Totals],[conteo]]</f>
        <v>2.4985882976118495E-6</v>
      </c>
      <c r="J210" s="50">
        <f>365*ocurrencias[[#This Row],[conteo]]/ocurrencias[[#Totals],[conteo]]</f>
        <v>9.1198472862832501E-4</v>
      </c>
      <c r="K210">
        <v>2.4985882976118402E-4</v>
      </c>
    </row>
    <row r="211" spans="1:11" x14ac:dyDescent="0.3">
      <c r="A211" t="s">
        <v>122</v>
      </c>
      <c r="E211">
        <f>SUBTOTAL(109,ocurrencias[conteo])</f>
        <v>400226</v>
      </c>
      <c r="I211" s="52">
        <f>SUBTOTAL(109,ocurrencias[ocurrencia])</f>
        <v>1.0000000000000002</v>
      </c>
      <c r="J211">
        <f>SUBTOTAL(109,ocurrencias[Dias-Año])</f>
        <v>364.99999999999994</v>
      </c>
      <c r="K211">
        <f>SUBTOTAL(109,ocurrencias[porcentaje])</f>
        <v>100</v>
      </c>
    </row>
  </sheetData>
  <phoneticPr fontId="2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B6A6-5C5D-4213-9270-E90D1E3DCC88}">
  <dimension ref="A1:J213"/>
  <sheetViews>
    <sheetView tabSelected="1" zoomScale="124" zoomScaleNormal="124" workbookViewId="0">
      <selection activeCell="H8" sqref="H8"/>
    </sheetView>
  </sheetViews>
  <sheetFormatPr baseColWidth="10" defaultRowHeight="14.4" x14ac:dyDescent="0.3"/>
  <cols>
    <col min="1" max="1" width="8.21875" customWidth="1"/>
    <col min="2" max="2" width="18.21875" customWidth="1"/>
    <col min="8" max="8" width="12.44140625" customWidth="1"/>
    <col min="9" max="9" width="12.44140625" bestFit="1" customWidth="1"/>
    <col min="10" max="10" width="16.88671875" customWidth="1"/>
  </cols>
  <sheetData>
    <row r="1" spans="1:10" ht="21" x14ac:dyDescent="0.4">
      <c r="A1" s="60" t="s">
        <v>153</v>
      </c>
      <c r="B1" s="60"/>
      <c r="C1" s="60"/>
      <c r="D1" s="60"/>
      <c r="E1" s="60"/>
      <c r="F1" s="60"/>
      <c r="G1" s="60"/>
      <c r="H1" s="60"/>
      <c r="I1" s="60"/>
      <c r="J1" s="60"/>
    </row>
    <row r="3" spans="1:10" ht="18" x14ac:dyDescent="0.3">
      <c r="A3" s="58" t="s">
        <v>28</v>
      </c>
      <c r="B3" s="58"/>
      <c r="C3" s="58"/>
      <c r="D3" s="58"/>
      <c r="E3" s="59" t="s">
        <v>29</v>
      </c>
      <c r="F3" s="59"/>
      <c r="G3" s="59"/>
      <c r="H3" s="58" t="s">
        <v>30</v>
      </c>
      <c r="I3" s="58"/>
    </row>
    <row r="4" spans="1:10" ht="15.6" x14ac:dyDescent="0.3">
      <c r="A4" s="13" t="s">
        <v>39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3" t="s">
        <v>37</v>
      </c>
      <c r="I4" s="15" t="s">
        <v>38</v>
      </c>
    </row>
    <row r="5" spans="1:10" ht="15.6" x14ac:dyDescent="0.3">
      <c r="A5" s="57" t="str">
        <f>'Tabla_Ocurrencia Insideo'!C2</f>
        <v>SW</v>
      </c>
      <c r="B5" s="55" t="str">
        <f>'Tabla_Ocurrencia Insideo'!D2</f>
        <v>213,75° – 236,25°</v>
      </c>
      <c r="C5" s="55" t="str">
        <f>'Tabla_Ocurrencia Insideo'!A2</f>
        <v>2.0 - 2.5</v>
      </c>
      <c r="D5" s="55" t="str">
        <f>'Tabla_Ocurrencia Insideo'!B2</f>
        <v>14.0 - 17.0</v>
      </c>
      <c r="E5" s="55">
        <f>'Tabla_Ocurrencia Insideo'!H2</f>
        <v>220.60083742197301</v>
      </c>
      <c r="F5" s="55">
        <f>'Tabla_Ocurrencia Insideo'!F2</f>
        <v>2.21660510159521</v>
      </c>
      <c r="G5" s="55">
        <f>'Tabla_Ocurrencia Insideo'!G2</f>
        <v>15.1806609468519</v>
      </c>
      <c r="H5" s="54">
        <f>'Tabla_Ocurrencia Insideo'!I2</f>
        <v>9.7267543837731688E-2</v>
      </c>
      <c r="I5" s="55">
        <f>'Tabla_Ocurrencia Insideo'!J2</f>
        <v>35.502653500772063</v>
      </c>
      <c r="J5" s="56" t="s">
        <v>151</v>
      </c>
    </row>
    <row r="6" spans="1:10" ht="15.6" x14ac:dyDescent="0.3">
      <c r="A6" s="16" t="str">
        <f>'Tabla_Ocurrencia Insideo'!C3</f>
        <v>SSW</v>
      </c>
      <c r="B6" s="17" t="str">
        <f>'Tabla_Ocurrencia Insideo'!D3</f>
        <v>191,25° – 213,75°</v>
      </c>
      <c r="C6" s="17" t="str">
        <f>'Tabla_Ocurrencia Insideo'!A3</f>
        <v>2.0 - 2.5</v>
      </c>
      <c r="D6" s="17" t="str">
        <f>'Tabla_Ocurrencia Insideo'!B3</f>
        <v>14.0 - 17.0</v>
      </c>
      <c r="E6" s="17">
        <f>'Tabla_Ocurrencia Insideo'!H3</f>
        <v>207.11807847451399</v>
      </c>
      <c r="F6" s="17">
        <f>'Tabla_Ocurrencia Insideo'!F3</f>
        <v>2.2538150243595698</v>
      </c>
      <c r="G6" s="17">
        <f>'Tabla_Ocurrencia Insideo'!G3</f>
        <v>14.9713819477185</v>
      </c>
      <c r="H6" s="18">
        <f>'Tabla_Ocurrencia Insideo'!I3</f>
        <v>9.5391104026225179E-2</v>
      </c>
      <c r="I6" s="19">
        <f>'Tabla_Ocurrencia Insideo'!J3</f>
        <v>34.81775296957219</v>
      </c>
    </row>
    <row r="7" spans="1:10" ht="15.6" x14ac:dyDescent="0.3">
      <c r="A7" s="16" t="str">
        <f>'Tabla_Ocurrencia Insideo'!C4</f>
        <v>SSW</v>
      </c>
      <c r="B7" s="17" t="str">
        <f>'Tabla_Ocurrencia Insideo'!D4</f>
        <v>191,25° – 213,75°</v>
      </c>
      <c r="C7" s="17" t="str">
        <f>'Tabla_Ocurrencia Insideo'!A4</f>
        <v>1.5 - 2.0</v>
      </c>
      <c r="D7" s="17" t="str">
        <f>'Tabla_Ocurrencia Insideo'!B4</f>
        <v>11.0 - 14.0</v>
      </c>
      <c r="E7" s="17">
        <f>'Tabla_Ocurrencia Insideo'!H4</f>
        <v>206.53999243897101</v>
      </c>
      <c r="F7" s="17">
        <f>'Tabla_Ocurrencia Insideo'!F4</f>
        <v>1.7832790559516001</v>
      </c>
      <c r="G7" s="17">
        <f>'Tabla_Ocurrencia Insideo'!G4</f>
        <v>12.6939916828688</v>
      </c>
      <c r="H7" s="18">
        <f>'Tabla_Ocurrencia Insideo'!I4</f>
        <v>9.2527721837162E-2</v>
      </c>
      <c r="I7" s="19">
        <f>'Tabla_Ocurrencia Insideo'!J4</f>
        <v>33.772618470564133</v>
      </c>
    </row>
    <row r="8" spans="1:10" ht="15.6" x14ac:dyDescent="0.3">
      <c r="A8" s="16" t="str">
        <f>'Tabla_Ocurrencia Insideo'!C5</f>
        <v>SW</v>
      </c>
      <c r="B8" s="17" t="str">
        <f>'Tabla_Ocurrencia Insideo'!D5</f>
        <v>213,75° – 236,25°</v>
      </c>
      <c r="C8" s="17" t="str">
        <f>'Tabla_Ocurrencia Insideo'!A5</f>
        <v>1.5 - 2.0</v>
      </c>
      <c r="D8" s="17" t="str">
        <f>'Tabla_Ocurrencia Insideo'!B5</f>
        <v>11.0 - 14.0</v>
      </c>
      <c r="E8" s="17">
        <f>'Tabla_Ocurrencia Insideo'!H5</f>
        <v>220.72205487704599</v>
      </c>
      <c r="F8" s="17">
        <f>'Tabla_Ocurrencia Insideo'!F5</f>
        <v>1.74473273454186</v>
      </c>
      <c r="G8" s="17">
        <f>'Tabla_Ocurrencia Insideo'!G5</f>
        <v>12.9807232049947</v>
      </c>
      <c r="H8" s="18">
        <f>'Tabla_Ocurrencia Insideo'!I5</f>
        <v>9.1243447452189513E-2</v>
      </c>
      <c r="I8" s="19">
        <f>'Tabla_Ocurrencia Insideo'!J5</f>
        <v>33.303858320049173</v>
      </c>
    </row>
    <row r="9" spans="1:10" ht="15.6" x14ac:dyDescent="0.3">
      <c r="A9" s="16" t="str">
        <f>'Tabla_Ocurrencia Insideo'!C6</f>
        <v>SW</v>
      </c>
      <c r="B9" s="17" t="str">
        <f>'Tabla_Ocurrencia Insideo'!D6</f>
        <v>213,75° – 236,25°</v>
      </c>
      <c r="C9" s="17" t="str">
        <f>'Tabla_Ocurrencia Insideo'!A6</f>
        <v>1.5 - 2.0</v>
      </c>
      <c r="D9" s="17" t="str">
        <f>'Tabla_Ocurrencia Insideo'!B6</f>
        <v>14.0 - 17.0</v>
      </c>
      <c r="E9" s="17">
        <f>'Tabla_Ocurrencia Insideo'!H6</f>
        <v>222.120100486328</v>
      </c>
      <c r="F9" s="17">
        <f>'Tabla_Ocurrencia Insideo'!F6</f>
        <v>1.80797223743115</v>
      </c>
      <c r="G9" s="17">
        <f>'Tabla_Ocurrencia Insideo'!G6</f>
        <v>14.953574028148999</v>
      </c>
      <c r="H9" s="18">
        <f>'Tabla_Ocurrencia Insideo'!I6</f>
        <v>7.7578668052550315E-2</v>
      </c>
      <c r="I9" s="19">
        <f>'Tabla_Ocurrencia Insideo'!J6</f>
        <v>28.316213839180861</v>
      </c>
    </row>
    <row r="10" spans="1:10" ht="15.6" x14ac:dyDescent="0.3">
      <c r="A10" s="16" t="str">
        <f>'Tabla_Ocurrencia Insideo'!C7</f>
        <v>SSW</v>
      </c>
      <c r="B10" s="17" t="str">
        <f>'Tabla_Ocurrencia Insideo'!D7</f>
        <v>191,25° – 213,75°</v>
      </c>
      <c r="C10" s="17" t="str">
        <f>'Tabla_Ocurrencia Insideo'!A7</f>
        <v>2.0 - 2.5</v>
      </c>
      <c r="D10" s="17" t="str">
        <f>'Tabla_Ocurrencia Insideo'!B7</f>
        <v>11.0 - 14.0</v>
      </c>
      <c r="E10" s="17">
        <f>'Tabla_Ocurrencia Insideo'!H7</f>
        <v>205.16743662409201</v>
      </c>
      <c r="F10" s="17">
        <f>'Tabla_Ocurrencia Insideo'!F7</f>
        <v>2.1926095733530002</v>
      </c>
      <c r="G10" s="17">
        <f>'Tabla_Ocurrencia Insideo'!G7</f>
        <v>13.0223840211188</v>
      </c>
      <c r="H10" s="18">
        <f>'Tabla_Ocurrencia Insideo'!I7</f>
        <v>6.436113595818363E-2</v>
      </c>
      <c r="I10" s="19">
        <f>'Tabla_Ocurrencia Insideo'!J7</f>
        <v>23.491814624737025</v>
      </c>
    </row>
    <row r="11" spans="1:10" ht="15.6" x14ac:dyDescent="0.3">
      <c r="A11" s="16" t="str">
        <f>'Tabla_Ocurrencia Insideo'!C8</f>
        <v>SSW</v>
      </c>
      <c r="B11" s="17" t="str">
        <f>'Tabla_Ocurrencia Insideo'!D8</f>
        <v>191,25° – 213,75°</v>
      </c>
      <c r="C11" s="17" t="str">
        <f>'Tabla_Ocurrencia Insideo'!A8</f>
        <v>2.5 - 3.0</v>
      </c>
      <c r="D11" s="17" t="str">
        <f>'Tabla_Ocurrencia Insideo'!B8</f>
        <v>14.0 - 17.0</v>
      </c>
      <c r="E11" s="17">
        <f>'Tabla_Ocurrencia Insideo'!H8</f>
        <v>206.499214438222</v>
      </c>
      <c r="F11" s="17">
        <f>'Tabla_Ocurrencia Insideo'!F8</f>
        <v>2.7079881561455101</v>
      </c>
      <c r="G11" s="17">
        <f>'Tabla_Ocurrencia Insideo'!G8</f>
        <v>15.3227406034725</v>
      </c>
      <c r="H11" s="18">
        <f>'Tabla_Ocurrencia Insideo'!I8</f>
        <v>6.2022457311618935E-2</v>
      </c>
      <c r="I11" s="19">
        <f>'Tabla_Ocurrencia Insideo'!J8</f>
        <v>22.63819691874091</v>
      </c>
    </row>
    <row r="12" spans="1:10" ht="15.6" x14ac:dyDescent="0.3">
      <c r="A12" s="16" t="str">
        <f>'Tabla_Ocurrencia Insideo'!C9</f>
        <v>SSW</v>
      </c>
      <c r="B12" s="17" t="str">
        <f>'Tabla_Ocurrencia Insideo'!D9</f>
        <v>191,25° – 213,75°</v>
      </c>
      <c r="C12" s="17" t="str">
        <f>'Tabla_Ocurrencia Insideo'!A9</f>
        <v>1.5 - 2.0</v>
      </c>
      <c r="D12" s="17" t="str">
        <f>'Tabla_Ocurrencia Insideo'!B9</f>
        <v>14.0 - 17.0</v>
      </c>
      <c r="E12" s="17">
        <f>'Tabla_Ocurrencia Insideo'!H9</f>
        <v>207.3975495837</v>
      </c>
      <c r="F12" s="17">
        <f>'Tabla_Ocurrencia Insideo'!F9</f>
        <v>1.8292391525079501</v>
      </c>
      <c r="G12" s="17">
        <f>'Tabla_Ocurrencia Insideo'!G9</f>
        <v>14.890076490895501</v>
      </c>
      <c r="H12" s="18">
        <f>'Tabla_Ocurrencia Insideo'!I9</f>
        <v>3.6911644920619852E-2</v>
      </c>
      <c r="I12" s="19">
        <f>'Tabla_Ocurrencia Insideo'!J9</f>
        <v>13.472750396026246</v>
      </c>
    </row>
    <row r="13" spans="1:10" ht="15.6" x14ac:dyDescent="0.3">
      <c r="A13" s="16" t="str">
        <f>'Tabla_Ocurrencia Insideo'!C10</f>
        <v>SW</v>
      </c>
      <c r="B13" s="17" t="str">
        <f>'Tabla_Ocurrencia Insideo'!D10</f>
        <v>213,75° – 236,25°</v>
      </c>
      <c r="C13" s="17" t="str">
        <f>'Tabla_Ocurrencia Insideo'!A10</f>
        <v>2.5 - 3.0</v>
      </c>
      <c r="D13" s="17" t="str">
        <f>'Tabla_Ocurrencia Insideo'!B10</f>
        <v>14.0 - 17.0</v>
      </c>
      <c r="E13" s="17">
        <f>'Tabla_Ocurrencia Insideo'!H10</f>
        <v>219.331967898344</v>
      </c>
      <c r="F13" s="17">
        <f>'Tabla_Ocurrencia Insideo'!F10</f>
        <v>2.6825238254472401</v>
      </c>
      <c r="G13" s="17">
        <f>'Tabla_Ocurrencia Insideo'!G10</f>
        <v>15.5143211837485</v>
      </c>
      <c r="H13" s="18">
        <f>'Tabla_Ocurrencia Insideo'!I10</f>
        <v>2.9888113216032942E-2</v>
      </c>
      <c r="I13" s="19">
        <f>'Tabla_Ocurrencia Insideo'!J10</f>
        <v>10.909161323852024</v>
      </c>
    </row>
    <row r="14" spans="1:10" ht="15.6" x14ac:dyDescent="0.3">
      <c r="A14" s="16" t="str">
        <f>'Tabla_Ocurrencia Insideo'!C11</f>
        <v>SW</v>
      </c>
      <c r="B14" s="17" t="str">
        <f>'Tabla_Ocurrencia Insideo'!D11</f>
        <v>213,75° – 236,25°</v>
      </c>
      <c r="C14" s="17" t="str">
        <f>'Tabla_Ocurrencia Insideo'!A11</f>
        <v>2.0 - 2.5</v>
      </c>
      <c r="D14" s="17" t="str">
        <f>'Tabla_Ocurrencia Insideo'!B11</f>
        <v>11.0 - 14.0</v>
      </c>
      <c r="E14" s="17">
        <f>'Tabla_Ocurrencia Insideo'!H11</f>
        <v>219.82805889321301</v>
      </c>
      <c r="F14" s="17">
        <f>'Tabla_Ocurrencia Insideo'!F11</f>
        <v>2.17379844305297</v>
      </c>
      <c r="G14" s="17">
        <f>'Tabla_Ocurrencia Insideo'!G11</f>
        <v>13.1761524792689</v>
      </c>
      <c r="H14" s="18">
        <f>'Tabla_Ocurrencia Insideo'!I11</f>
        <v>2.9528316501176835E-2</v>
      </c>
      <c r="I14" s="19">
        <f>'Tabla_Ocurrencia Insideo'!J11</f>
        <v>10.777835522929545</v>
      </c>
    </row>
    <row r="15" spans="1:10" ht="15.6" x14ac:dyDescent="0.3">
      <c r="A15" s="16" t="str">
        <f>'Tabla_Ocurrencia Insideo'!C12</f>
        <v>SW</v>
      </c>
      <c r="B15" s="17" t="str">
        <f>'Tabla_Ocurrencia Insideo'!D12</f>
        <v>213,75° – 236,25°</v>
      </c>
      <c r="C15" s="17" t="str">
        <f>'Tabla_Ocurrencia Insideo'!A12</f>
        <v>2.0 - 2.5</v>
      </c>
      <c r="D15" s="17" t="str">
        <f>'Tabla_Ocurrencia Insideo'!B12</f>
        <v>17.0 - 20.0</v>
      </c>
      <c r="E15" s="17">
        <f>'Tabla_Ocurrencia Insideo'!H12</f>
        <v>220.55518357326099</v>
      </c>
      <c r="F15" s="17">
        <f>'Tabla_Ocurrencia Insideo'!F12</f>
        <v>2.2428668675371002</v>
      </c>
      <c r="G15" s="17">
        <f>'Tabla_Ocurrencia Insideo'!G12</f>
        <v>18.063832161589101</v>
      </c>
      <c r="H15" s="18">
        <f>'Tabla_Ocurrencia Insideo'!I12</f>
        <v>2.2389849734899783E-2</v>
      </c>
      <c r="I15" s="19">
        <f>'Tabla_Ocurrencia Insideo'!J12</f>
        <v>8.1722951532384212</v>
      </c>
    </row>
    <row r="16" spans="1:10" ht="15.6" x14ac:dyDescent="0.3">
      <c r="A16" s="16" t="str">
        <f>'Tabla_Ocurrencia Insideo'!C13</f>
        <v>SSW</v>
      </c>
      <c r="B16" s="17" t="str">
        <f>'Tabla_Ocurrencia Insideo'!D13</f>
        <v>191,25° – 213,75°</v>
      </c>
      <c r="C16" s="17" t="str">
        <f>'Tabla_Ocurrencia Insideo'!A13</f>
        <v>3.0 - 3.5</v>
      </c>
      <c r="D16" s="17" t="str">
        <f>'Tabla_Ocurrencia Insideo'!B13</f>
        <v>14.0 - 17.0</v>
      </c>
      <c r="E16" s="17">
        <f>'Tabla_Ocurrencia Insideo'!H13</f>
        <v>205.98961713173199</v>
      </c>
      <c r="F16" s="17">
        <f>'Tabla_Ocurrencia Insideo'!F13</f>
        <v>3.1860324464633298</v>
      </c>
      <c r="G16" s="17">
        <f>'Tabla_Ocurrencia Insideo'!G13</f>
        <v>15.5613692407527</v>
      </c>
      <c r="H16" s="18">
        <f>'Tabla_Ocurrencia Insideo'!I13</f>
        <v>1.9251622833099297E-2</v>
      </c>
      <c r="I16" s="19">
        <f>'Tabla_Ocurrencia Insideo'!J13</f>
        <v>7.0268423340812438</v>
      </c>
    </row>
    <row r="17" spans="1:9" ht="15.6" x14ac:dyDescent="0.3">
      <c r="A17" s="16" t="str">
        <f>'Tabla_Ocurrencia Insideo'!C14</f>
        <v>SW</v>
      </c>
      <c r="B17" s="17" t="str">
        <f>'Tabla_Ocurrencia Insideo'!D14</f>
        <v>213,75° – 236,25°</v>
      </c>
      <c r="C17" s="17" t="str">
        <f>'Tabla_Ocurrencia Insideo'!A14</f>
        <v>1.0 - 1.5</v>
      </c>
      <c r="D17" s="17" t="str">
        <f>'Tabla_Ocurrencia Insideo'!B14</f>
        <v>11.0 - 14.0</v>
      </c>
      <c r="E17" s="17">
        <f>'Tabla_Ocurrencia Insideo'!H14</f>
        <v>221.231513685165</v>
      </c>
      <c r="F17" s="17">
        <f>'Tabla_Ocurrencia Insideo'!F14</f>
        <v>1.3835551187055799</v>
      </c>
      <c r="G17" s="17">
        <f>'Tabla_Ocurrencia Insideo'!G14</f>
        <v>12.4788220172387</v>
      </c>
      <c r="H17" s="18">
        <f>'Tabla_Ocurrencia Insideo'!I14</f>
        <v>1.6523164412107161E-2</v>
      </c>
      <c r="I17" s="19">
        <f>'Tabla_Ocurrencia Insideo'!J14</f>
        <v>6.0309550104191132</v>
      </c>
    </row>
    <row r="18" spans="1:9" ht="15.6" x14ac:dyDescent="0.3">
      <c r="A18" s="16" t="str">
        <f>'Tabla_Ocurrencia Insideo'!C15</f>
        <v>SSW</v>
      </c>
      <c r="B18" s="17" t="str">
        <f>'Tabla_Ocurrencia Insideo'!D15</f>
        <v>191,25° – 213,75°</v>
      </c>
      <c r="C18" s="17" t="str">
        <f>'Tabla_Ocurrencia Insideo'!A15</f>
        <v>2.5 - 3.0</v>
      </c>
      <c r="D18" s="17" t="str">
        <f>'Tabla_Ocurrencia Insideo'!B15</f>
        <v>11.0 - 14.0</v>
      </c>
      <c r="E18" s="17">
        <f>'Tabla_Ocurrencia Insideo'!H15</f>
        <v>203.78597419781599</v>
      </c>
      <c r="F18" s="17">
        <f>'Tabla_Ocurrencia Insideo'!F15</f>
        <v>2.6732914323519599</v>
      </c>
      <c r="G18" s="17">
        <f>'Tabla_Ocurrencia Insideo'!G15</f>
        <v>13.108271584518601</v>
      </c>
      <c r="H18" s="18">
        <f>'Tabla_Ocurrencia Insideo'!I15</f>
        <v>1.510646484736124E-2</v>
      </c>
      <c r="I18" s="19">
        <f>'Tabla_Ocurrencia Insideo'!J15</f>
        <v>5.5138596692868527</v>
      </c>
    </row>
    <row r="19" spans="1:9" ht="15.6" x14ac:dyDescent="0.3">
      <c r="A19" s="16" t="str">
        <f>'Tabla_Ocurrencia Insideo'!C16</f>
        <v>SW</v>
      </c>
      <c r="B19" s="17" t="str">
        <f>'Tabla_Ocurrencia Insideo'!D16</f>
        <v>213,75° – 236,25°</v>
      </c>
      <c r="C19" s="17" t="str">
        <f>'Tabla_Ocurrencia Insideo'!A16</f>
        <v>1.5 - 2.0</v>
      </c>
      <c r="D19" s="17" t="str">
        <f>'Tabla_Ocurrencia Insideo'!B16</f>
        <v>17.0 - 20.0</v>
      </c>
      <c r="E19" s="17">
        <f>'Tabla_Ocurrencia Insideo'!H16</f>
        <v>221.045529649348</v>
      </c>
      <c r="F19" s="17">
        <f>'Tabla_Ocurrencia Insideo'!F16</f>
        <v>1.8186928584541899</v>
      </c>
      <c r="G19" s="17">
        <f>'Tabla_Ocurrencia Insideo'!G16</f>
        <v>18.026812924545599</v>
      </c>
      <c r="H19" s="18">
        <f>'Tabla_Ocurrencia Insideo'!I16</f>
        <v>1.3609810457091743E-2</v>
      </c>
      <c r="I19" s="19">
        <f>'Tabla_Ocurrencia Insideo'!J16</f>
        <v>4.9675808168384865</v>
      </c>
    </row>
    <row r="20" spans="1:9" ht="15.6" x14ac:dyDescent="0.3">
      <c r="A20" s="16" t="str">
        <f>'Tabla_Ocurrencia Insideo'!C17</f>
        <v>SSW</v>
      </c>
      <c r="B20" s="17" t="str">
        <f>'Tabla_Ocurrencia Insideo'!D17</f>
        <v>191,25° – 213,75°</v>
      </c>
      <c r="C20" s="17" t="str">
        <f>'Tabla_Ocurrencia Insideo'!A17</f>
        <v>2.0 - 2.5</v>
      </c>
      <c r="D20" s="17" t="str">
        <f>'Tabla_Ocurrencia Insideo'!B17</f>
        <v>17.0 - 20.0</v>
      </c>
      <c r="E20" s="17">
        <f>'Tabla_Ocurrencia Insideo'!H17</f>
        <v>207.41292601828701</v>
      </c>
      <c r="F20" s="17">
        <f>'Tabla_Ocurrencia Insideo'!F17</f>
        <v>2.2600748129675798</v>
      </c>
      <c r="G20" s="17">
        <f>'Tabla_Ocurrencia Insideo'!G17</f>
        <v>17.986832917705701</v>
      </c>
      <c r="H20" s="18">
        <f>'Tabla_Ocurrencia Insideo'!I17</f>
        <v>1.2023206888108219E-2</v>
      </c>
      <c r="I20" s="19">
        <f>'Tabla_Ocurrencia Insideo'!J17</f>
        <v>4.3884705141594997</v>
      </c>
    </row>
    <row r="21" spans="1:9" ht="15.6" x14ac:dyDescent="0.3">
      <c r="A21" s="16" t="str">
        <f>'Tabla_Ocurrencia Insideo'!C18</f>
        <v>WSW</v>
      </c>
      <c r="B21" s="17" t="str">
        <f>'Tabla_Ocurrencia Insideo'!D18</f>
        <v>236,25° – 258,75°</v>
      </c>
      <c r="C21" s="17" t="str">
        <f>'Tabla_Ocurrencia Insideo'!A18</f>
        <v>1.5 - 2.0</v>
      </c>
      <c r="D21" s="17" t="str">
        <f>'Tabla_Ocurrencia Insideo'!B18</f>
        <v>14.0 - 17.0</v>
      </c>
      <c r="E21" s="17">
        <f>'Tabla_Ocurrencia Insideo'!H18</f>
        <v>245.471614802354</v>
      </c>
      <c r="F21" s="17">
        <f>'Tabla_Ocurrencia Insideo'!F18</f>
        <v>1.7599978973927599</v>
      </c>
      <c r="G21" s="17">
        <f>'Tabla_Ocurrencia Insideo'!G18</f>
        <v>15.049718250630701</v>
      </c>
      <c r="H21" s="18">
        <f>'Tabla_Ocurrencia Insideo'!I18</f>
        <v>1.1883285943441955E-2</v>
      </c>
      <c r="I21" s="19">
        <f>'Tabla_Ocurrencia Insideo'!J18</f>
        <v>4.337399369356314</v>
      </c>
    </row>
    <row r="22" spans="1:9" ht="15.6" x14ac:dyDescent="0.3">
      <c r="A22" s="16" t="str">
        <f>'Tabla_Ocurrencia Insideo'!C19</f>
        <v>SSW</v>
      </c>
      <c r="B22" s="17" t="str">
        <f>'Tabla_Ocurrencia Insideo'!D19</f>
        <v>191,25° – 213,75°</v>
      </c>
      <c r="C22" s="17" t="str">
        <f>'Tabla_Ocurrencia Insideo'!A19</f>
        <v>2.5 - 3.0</v>
      </c>
      <c r="D22" s="17" t="str">
        <f>'Tabla_Ocurrencia Insideo'!B19</f>
        <v>17.0 - 20.0</v>
      </c>
      <c r="E22" s="17">
        <f>'Tabla_Ocurrencia Insideo'!H19</f>
        <v>206.63537675606599</v>
      </c>
      <c r="F22" s="17">
        <f>'Tabla_Ocurrencia Insideo'!F19</f>
        <v>2.7298275862068899</v>
      </c>
      <c r="G22" s="17">
        <f>'Tabla_Ocurrencia Insideo'!G19</f>
        <v>17.853263090676801</v>
      </c>
      <c r="H22" s="18">
        <f>'Tabla_Ocurrencia Insideo'!I19</f>
        <v>1.1738367822180467E-2</v>
      </c>
      <c r="I22" s="19">
        <f>'Tabla_Ocurrencia Insideo'!J19</f>
        <v>4.2845042550958707</v>
      </c>
    </row>
    <row r="23" spans="1:9" ht="15.6" x14ac:dyDescent="0.3">
      <c r="A23" s="16" t="str">
        <f>'Tabla_Ocurrencia Insideo'!C20</f>
        <v>SW</v>
      </c>
      <c r="B23" s="17" t="str">
        <f>'Tabla_Ocurrencia Insideo'!D20</f>
        <v>213,75° – 236,25°</v>
      </c>
      <c r="C23" s="17" t="str">
        <f>'Tabla_Ocurrencia Insideo'!A20</f>
        <v>2.5 - 3.0</v>
      </c>
      <c r="D23" s="17" t="str">
        <f>'Tabla_Ocurrencia Insideo'!B20</f>
        <v>17.0 - 20.0</v>
      </c>
      <c r="E23" s="17">
        <f>'Tabla_Ocurrencia Insideo'!H20</f>
        <v>219.78739612188301</v>
      </c>
      <c r="F23" s="17">
        <f>'Tabla_Ocurrencia Insideo'!F20</f>
        <v>2.6814796860572399</v>
      </c>
      <c r="G23" s="17">
        <f>'Tabla_Ocurrencia Insideo'!G20</f>
        <v>18.0132502308402</v>
      </c>
      <c r="H23" s="18">
        <f>'Tabla_Ocurrencia Insideo'!I20</f>
        <v>1.0823884505254532E-2</v>
      </c>
      <c r="I23" s="19">
        <f>'Tabla_Ocurrencia Insideo'!J20</f>
        <v>3.9507178444179041</v>
      </c>
    </row>
    <row r="24" spans="1:9" ht="15.6" x14ac:dyDescent="0.3">
      <c r="A24" s="16" t="str">
        <f>'Tabla_Ocurrencia Insideo'!C21</f>
        <v>S</v>
      </c>
      <c r="B24" s="17" t="str">
        <f>'Tabla_Ocurrencia Insideo'!D21</f>
        <v>168,75° – 191,25°</v>
      </c>
      <c r="C24" s="17" t="str">
        <f>'Tabla_Ocurrencia Insideo'!A21</f>
        <v>2.0 - 2.5</v>
      </c>
      <c r="D24" s="17" t="str">
        <f>'Tabla_Ocurrencia Insideo'!B21</f>
        <v>8.0 - 11.0</v>
      </c>
      <c r="E24" s="17">
        <f>'Tabla_Ocurrencia Insideo'!H21</f>
        <v>183.10795318844001</v>
      </c>
      <c r="F24" s="17">
        <f>'Tabla_Ocurrencia Insideo'!F21</f>
        <v>2.2447504179603501</v>
      </c>
      <c r="G24" s="17">
        <f>'Tabla_Ocurrencia Insideo'!G21</f>
        <v>9.2639192739431504</v>
      </c>
      <c r="H24" s="18">
        <f>'Tabla_Ocurrencia Insideo'!I21</f>
        <v>1.0461589202100814E-2</v>
      </c>
      <c r="I24" s="19">
        <f>'Tabla_Ocurrencia Insideo'!J21</f>
        <v>3.8184800587667969</v>
      </c>
    </row>
    <row r="25" spans="1:9" ht="15.6" x14ac:dyDescent="0.3">
      <c r="A25" s="16" t="str">
        <f>'Tabla_Ocurrencia Insideo'!C22</f>
        <v>WNW</v>
      </c>
      <c r="B25" s="17" t="str">
        <f>'Tabla_Ocurrencia Insideo'!D22</f>
        <v>281,25° – 303,75°</v>
      </c>
      <c r="C25" s="17" t="str">
        <f>'Tabla_Ocurrencia Insideo'!A22</f>
        <v>1.5 - 2.0</v>
      </c>
      <c r="D25" s="17" t="str">
        <f>'Tabla_Ocurrencia Insideo'!B22</f>
        <v>14.0 - 17.0</v>
      </c>
      <c r="E25" s="17">
        <f>'Tabla_Ocurrencia Insideo'!H22</f>
        <v>295.03382610874399</v>
      </c>
      <c r="F25" s="17">
        <f>'Tabla_Ocurrencia Insideo'!F22</f>
        <v>1.7042019543973901</v>
      </c>
      <c r="G25" s="17">
        <f>'Tabla_Ocurrencia Insideo'!G22</f>
        <v>15.676289150588801</v>
      </c>
      <c r="H25" s="18">
        <f>'Tabla_Ocurrencia Insideo'!I22</f>
        <v>9.9718658957688912E-3</v>
      </c>
      <c r="I25" s="19">
        <f>'Tabla_Ocurrencia Insideo'!J22</f>
        <v>3.6397310519556449</v>
      </c>
    </row>
    <row r="26" spans="1:9" ht="15.6" x14ac:dyDescent="0.3">
      <c r="A26" s="16" t="str">
        <f>'Tabla_Ocurrencia Insideo'!C23</f>
        <v>SSW</v>
      </c>
      <c r="B26" s="17" t="str">
        <f>'Tabla_Ocurrencia Insideo'!D23</f>
        <v>191,25° – 213,75°</v>
      </c>
      <c r="C26" s="17" t="str">
        <f>'Tabla_Ocurrencia Insideo'!A23</f>
        <v>1.0 - 1.5</v>
      </c>
      <c r="D26" s="17" t="str">
        <f>'Tabla_Ocurrencia Insideo'!B23</f>
        <v>11.0 - 14.0</v>
      </c>
      <c r="E26" s="17">
        <f>'Tabla_Ocurrencia Insideo'!H23</f>
        <v>207.19861786536899</v>
      </c>
      <c r="F26" s="17">
        <f>'Tabla_Ocurrencia Insideo'!F23</f>
        <v>1.3973406705912399</v>
      </c>
      <c r="G26" s="17">
        <f>'Tabla_Ocurrencia Insideo'!G23</f>
        <v>12.209541847965101</v>
      </c>
      <c r="H26" s="18">
        <f>'Tabla_Ocurrencia Insideo'!I23</f>
        <v>9.7619844787694959E-3</v>
      </c>
      <c r="I26" s="19">
        <f>'Tabla_Ocurrencia Insideo'!J23</f>
        <v>3.5631243347508659</v>
      </c>
    </row>
    <row r="27" spans="1:9" ht="15.6" x14ac:dyDescent="0.3">
      <c r="A27" s="16" t="str">
        <f>'Tabla_Ocurrencia Insideo'!C24</f>
        <v>S</v>
      </c>
      <c r="B27" s="17" t="str">
        <f>'Tabla_Ocurrencia Insideo'!D24</f>
        <v>168,75° – 191,25°</v>
      </c>
      <c r="C27" s="17" t="str">
        <f>'Tabla_Ocurrencia Insideo'!A24</f>
        <v>2.5 - 3.0</v>
      </c>
      <c r="D27" s="17" t="str">
        <f>'Tabla_Ocurrencia Insideo'!B24</f>
        <v>8.0 - 11.0</v>
      </c>
      <c r="E27" s="17">
        <f>'Tabla_Ocurrencia Insideo'!H24</f>
        <v>182.040064533476</v>
      </c>
      <c r="F27" s="17">
        <f>'Tabla_Ocurrencia Insideo'!F24</f>
        <v>2.7196343102984599</v>
      </c>
      <c r="G27" s="17">
        <f>'Tabla_Ocurrencia Insideo'!G24</f>
        <v>9.1429550954557595</v>
      </c>
      <c r="H27" s="18">
        <f>'Tabla_Ocurrencia Insideo'!I24</f>
        <v>9.2922498788184683E-3</v>
      </c>
      <c r="I27" s="19">
        <f>'Tabla_Ocurrencia Insideo'!J24</f>
        <v>3.3916712057687408</v>
      </c>
    </row>
    <row r="28" spans="1:9" ht="15.6" x14ac:dyDescent="0.3">
      <c r="A28" s="16" t="str">
        <f>'Tabla_Ocurrencia Insideo'!C25</f>
        <v>S</v>
      </c>
      <c r="B28" s="17" t="str">
        <f>'Tabla_Ocurrencia Insideo'!D25</f>
        <v>168,75° – 191,25°</v>
      </c>
      <c r="C28" s="17" t="str">
        <f>'Tabla_Ocurrencia Insideo'!A25</f>
        <v>1.5 - 2.0</v>
      </c>
      <c r="D28" s="17" t="str">
        <f>'Tabla_Ocurrencia Insideo'!B25</f>
        <v>8.0 - 11.0</v>
      </c>
      <c r="E28" s="17">
        <f>'Tabla_Ocurrencia Insideo'!H25</f>
        <v>184.79854862119001</v>
      </c>
      <c r="F28" s="17">
        <f>'Tabla_Ocurrencia Insideo'!F25</f>
        <v>1.7912423802612401</v>
      </c>
      <c r="G28" s="17">
        <f>'Tabla_Ocurrencia Insideo'!G25</f>
        <v>9.8434165457184299</v>
      </c>
      <c r="H28" s="18">
        <f>'Tabla_Ocurrencia Insideo'!I25</f>
        <v>8.6076366852728212E-3</v>
      </c>
      <c r="I28" s="19">
        <f>'Tabla_Ocurrencia Insideo'!J25</f>
        <v>3.1417873901245796</v>
      </c>
    </row>
    <row r="29" spans="1:9" ht="15.6" x14ac:dyDescent="0.3">
      <c r="A29" s="16" t="str">
        <f>'Tabla_Ocurrencia Insideo'!C26</f>
        <v>WNW</v>
      </c>
      <c r="B29" s="17" t="str">
        <f>'Tabla_Ocurrencia Insideo'!D26</f>
        <v>281,25° – 303,75°</v>
      </c>
      <c r="C29" s="17" t="str">
        <f>'Tabla_Ocurrencia Insideo'!A26</f>
        <v>1.5 - 2.0</v>
      </c>
      <c r="D29" s="17" t="str">
        <f>'Tabla_Ocurrencia Insideo'!B26</f>
        <v>17.0 - 20.0</v>
      </c>
      <c r="E29" s="17">
        <f>'Tabla_Ocurrencia Insideo'!H26</f>
        <v>298.436419753086</v>
      </c>
      <c r="F29" s="17">
        <f>'Tabla_Ocurrencia Insideo'!F26</f>
        <v>1.7656141975308599</v>
      </c>
      <c r="G29" s="17">
        <f>'Tabla_Ocurrencia Insideo'!G26</f>
        <v>18.019114197530801</v>
      </c>
      <c r="H29" s="18">
        <f>'Tabla_Ocurrencia Insideo'!I26</f>
        <v>8.0954260842623915E-3</v>
      </c>
      <c r="I29" s="19">
        <f>'Tabla_Ocurrencia Insideo'!J26</f>
        <v>2.954830520755773</v>
      </c>
    </row>
    <row r="30" spans="1:9" ht="15.6" x14ac:dyDescent="0.3">
      <c r="A30" s="16" t="str">
        <f>'Tabla_Ocurrencia Insideo'!C27</f>
        <v>W</v>
      </c>
      <c r="B30" s="17" t="str">
        <f>'Tabla_Ocurrencia Insideo'!D27</f>
        <v>258,75° – 281,25°</v>
      </c>
      <c r="C30" s="17" t="str">
        <f>'Tabla_Ocurrencia Insideo'!A27</f>
        <v>1.5 - 2.0</v>
      </c>
      <c r="D30" s="17" t="str">
        <f>'Tabla_Ocurrencia Insideo'!B27</f>
        <v>14.0 - 17.0</v>
      </c>
      <c r="E30" s="17">
        <f>'Tabla_Ocurrencia Insideo'!H27</f>
        <v>269.505930318754</v>
      </c>
      <c r="F30" s="17">
        <f>'Tabla_Ocurrencia Insideo'!F27</f>
        <v>1.7322831727205299</v>
      </c>
      <c r="G30" s="17">
        <f>'Tabla_Ocurrencia Insideo'!G27</f>
        <v>15.2881245366938</v>
      </c>
      <c r="H30" s="18">
        <f>'Tabla_Ocurrencia Insideo'!I27</f>
        <v>6.741191226956769E-3</v>
      </c>
      <c r="I30" s="19">
        <f>'Tabla_Ocurrencia Insideo'!J27</f>
        <v>2.4605347978392209</v>
      </c>
    </row>
    <row r="31" spans="1:9" ht="15.6" x14ac:dyDescent="0.3">
      <c r="A31" s="16" t="str">
        <f>'Tabla_Ocurrencia Insideo'!C28</f>
        <v>SSW</v>
      </c>
      <c r="B31" s="17" t="str">
        <f>'Tabla_Ocurrencia Insideo'!D28</f>
        <v>191,25° – 213,75°</v>
      </c>
      <c r="C31" s="17" t="str">
        <f>'Tabla_Ocurrencia Insideo'!A28</f>
        <v>3.0 - 3.5</v>
      </c>
      <c r="D31" s="17" t="str">
        <f>'Tabla_Ocurrencia Insideo'!B28</f>
        <v>17.0 - 20.0</v>
      </c>
      <c r="E31" s="17">
        <f>'Tabla_Ocurrencia Insideo'!H28</f>
        <v>206.416989914662</v>
      </c>
      <c r="F31" s="17">
        <f>'Tabla_Ocurrencia Insideo'!F28</f>
        <v>3.21709852598913</v>
      </c>
      <c r="G31" s="17">
        <f>'Tabla_Ocurrencia Insideo'!G28</f>
        <v>17.906353762606599</v>
      </c>
      <c r="H31" s="18">
        <f>'Tabla_Ocurrencia Insideo'!I28</f>
        <v>6.4413606312433477E-3</v>
      </c>
      <c r="I31" s="19">
        <f>'Tabla_Ocurrencia Insideo'!J28</f>
        <v>2.3510966304038217</v>
      </c>
    </row>
    <row r="32" spans="1:9" ht="15.6" x14ac:dyDescent="0.3">
      <c r="A32" s="16" t="str">
        <f>'Tabla_Ocurrencia Insideo'!C29</f>
        <v>SSW</v>
      </c>
      <c r="B32" s="17" t="str">
        <f>'Tabla_Ocurrencia Insideo'!D29</f>
        <v>191,25° – 213,75°</v>
      </c>
      <c r="C32" s="17" t="str">
        <f>'Tabla_Ocurrencia Insideo'!A29</f>
        <v>1.5 - 2.0</v>
      </c>
      <c r="D32" s="17" t="str">
        <f>'Tabla_Ocurrencia Insideo'!B29</f>
        <v>8.0 - 11.0</v>
      </c>
      <c r="E32" s="17">
        <f>'Tabla_Ocurrencia Insideo'!H29</f>
        <v>200.62960031658</v>
      </c>
      <c r="F32" s="17">
        <f>'Tabla_Ocurrencia Insideo'!F29</f>
        <v>1.69749505342303</v>
      </c>
      <c r="G32" s="17">
        <f>'Tabla_Ocurrencia Insideo'!G29</f>
        <v>10.660079145231499</v>
      </c>
      <c r="H32" s="18">
        <f>'Tabla_Ocurrencia Insideo'!I29</f>
        <v>6.3139326280651428E-3</v>
      </c>
      <c r="I32" s="19">
        <f>'Tabla_Ocurrencia Insideo'!J29</f>
        <v>2.3045854092437774</v>
      </c>
    </row>
    <row r="33" spans="1:9" ht="15.6" x14ac:dyDescent="0.3">
      <c r="A33" s="16" t="str">
        <f>'Tabla_Ocurrencia Insideo'!C30</f>
        <v>SW</v>
      </c>
      <c r="B33" s="17" t="str">
        <f>'Tabla_Ocurrencia Insideo'!D30</f>
        <v>213,75° – 236,25°</v>
      </c>
      <c r="C33" s="17" t="str">
        <f>'Tabla_Ocurrencia Insideo'!A30</f>
        <v>3.0 - 3.5</v>
      </c>
      <c r="D33" s="17" t="str">
        <f>'Tabla_Ocurrencia Insideo'!B30</f>
        <v>14.0 - 17.0</v>
      </c>
      <c r="E33" s="17">
        <f>'Tabla_Ocurrencia Insideo'!H30</f>
        <v>218.551615798922</v>
      </c>
      <c r="F33" s="17">
        <f>'Tabla_Ocurrencia Insideo'!F30</f>
        <v>3.1779488330341099</v>
      </c>
      <c r="G33" s="17">
        <f>'Tabla_Ocurrencia Insideo'!G30</f>
        <v>15.6093626570915</v>
      </c>
      <c r="H33" s="18">
        <f>'Tabla_Ocurrencia Insideo'!I30</f>
        <v>5.5668547270792002E-3</v>
      </c>
      <c r="I33" s="19">
        <f>'Tabla_Ocurrencia Insideo'!J30</f>
        <v>2.0319019753839083</v>
      </c>
    </row>
    <row r="34" spans="1:9" ht="15.6" x14ac:dyDescent="0.3">
      <c r="A34" s="16" t="str">
        <f>'Tabla_Ocurrencia Insideo'!C31</f>
        <v>SW</v>
      </c>
      <c r="B34" s="17" t="str">
        <f>'Tabla_Ocurrencia Insideo'!D31</f>
        <v>213,75° – 236,25°</v>
      </c>
      <c r="C34" s="17" t="str">
        <f>'Tabla_Ocurrencia Insideo'!A31</f>
        <v>1.0 - 1.5</v>
      </c>
      <c r="D34" s="17" t="str">
        <f>'Tabla_Ocurrencia Insideo'!B31</f>
        <v>14.0 - 17.0</v>
      </c>
      <c r="E34" s="17">
        <f>'Tabla_Ocurrencia Insideo'!H31</f>
        <v>223.22738886050001</v>
      </c>
      <c r="F34" s="17">
        <f>'Tabla_Ocurrencia Insideo'!F31</f>
        <v>1.39964230965763</v>
      </c>
      <c r="G34" s="17">
        <f>'Tabla_Ocurrencia Insideo'!G31</f>
        <v>15.112498722534401</v>
      </c>
      <c r="H34" s="18">
        <f>'Tabla_Ocurrencia Insideo'!I31</f>
        <v>4.8897372984263894E-3</v>
      </c>
      <c r="I34" s="19">
        <f>'Tabla_Ocurrencia Insideo'!J31</f>
        <v>1.784754113925632</v>
      </c>
    </row>
    <row r="35" spans="1:9" ht="15.6" x14ac:dyDescent="0.3">
      <c r="A35" s="16" t="str">
        <f>'Tabla_Ocurrencia Insideo'!C32</f>
        <v>SSW</v>
      </c>
      <c r="B35" s="17" t="str">
        <f>'Tabla_Ocurrencia Insideo'!D32</f>
        <v>191,25° – 213,75°</v>
      </c>
      <c r="C35" s="17" t="str">
        <f>'Tabla_Ocurrencia Insideo'!A32</f>
        <v>1.5 - 2.0</v>
      </c>
      <c r="D35" s="17" t="str">
        <f>'Tabla_Ocurrencia Insideo'!B32</f>
        <v>17.0 - 20.0</v>
      </c>
      <c r="E35" s="17">
        <f>'Tabla_Ocurrencia Insideo'!H32</f>
        <v>207.64231601731601</v>
      </c>
      <c r="F35" s="17">
        <f>'Tabla_Ocurrencia Insideo'!F32</f>
        <v>1.8267478354978299</v>
      </c>
      <c r="G35" s="17">
        <f>'Tabla_Ocurrencia Insideo'!G32</f>
        <v>18.048652597402501</v>
      </c>
      <c r="H35" s="18">
        <f>'Tabla_Ocurrencia Insideo'!I32</f>
        <v>4.6173911739866976E-3</v>
      </c>
      <c r="I35" s="19">
        <f>'Tabla_Ocurrencia Insideo'!J32</f>
        <v>1.6853477785051445</v>
      </c>
    </row>
    <row r="36" spans="1:9" ht="15.6" x14ac:dyDescent="0.3">
      <c r="A36" s="16" t="str">
        <f>'Tabla_Ocurrencia Insideo'!C33</f>
        <v>SSW</v>
      </c>
      <c r="B36" s="17" t="str">
        <f>'Tabla_Ocurrencia Insideo'!D33</f>
        <v>191,25° – 213,75°</v>
      </c>
      <c r="C36" s="17" t="str">
        <f>'Tabla_Ocurrencia Insideo'!A33</f>
        <v>3.5 - 4.0</v>
      </c>
      <c r="D36" s="17" t="str">
        <f>'Tabla_Ocurrencia Insideo'!B33</f>
        <v>14.0 - 17.0</v>
      </c>
      <c r="E36" s="17">
        <f>'Tabla_Ocurrencia Insideo'!H33</f>
        <v>205.56874999999999</v>
      </c>
      <c r="F36" s="17">
        <f>'Tabla_Ocurrencia Insideo'!F33</f>
        <v>3.6877215909090899</v>
      </c>
      <c r="G36" s="17">
        <f>'Tabla_Ocurrencia Insideo'!G33</f>
        <v>15.6655056818181</v>
      </c>
      <c r="H36" s="18">
        <f>'Tabla_Ocurrencia Insideo'!I33</f>
        <v>4.3975154037968547E-3</v>
      </c>
      <c r="I36" s="19">
        <f>'Tabla_Ocurrencia Insideo'!J33</f>
        <v>1.605093122385852</v>
      </c>
    </row>
    <row r="37" spans="1:9" ht="15.6" x14ac:dyDescent="0.3">
      <c r="A37" s="16" t="str">
        <f>'Tabla_Ocurrencia Insideo'!C34</f>
        <v>WSW</v>
      </c>
      <c r="B37" s="17" t="str">
        <f>'Tabla_Ocurrencia Insideo'!D34</f>
        <v>236,25° – 258,75°</v>
      </c>
      <c r="C37" s="17" t="str">
        <f>'Tabla_Ocurrencia Insideo'!A34</f>
        <v>2.0 - 2.5</v>
      </c>
      <c r="D37" s="17" t="str">
        <f>'Tabla_Ocurrencia Insideo'!B34</f>
        <v>14.0 - 17.0</v>
      </c>
      <c r="E37" s="17">
        <f>'Tabla_Ocurrencia Insideo'!H34</f>
        <v>244.21886120996399</v>
      </c>
      <c r="F37" s="17">
        <f>'Tabla_Ocurrencia Insideo'!F34</f>
        <v>2.1430071174377199</v>
      </c>
      <c r="G37" s="17">
        <f>'Tabla_Ocurrencia Insideo'!G34</f>
        <v>15.467989323843399</v>
      </c>
      <c r="H37" s="18">
        <f>'Tabla_Ocurrencia Insideo'!I34</f>
        <v>4.2126198697735777E-3</v>
      </c>
      <c r="I37" s="19">
        <f>'Tabla_Ocurrencia Insideo'!J34</f>
        <v>1.5376062524673559</v>
      </c>
    </row>
    <row r="38" spans="1:9" ht="15.6" x14ac:dyDescent="0.3">
      <c r="A38" s="16" t="str">
        <f>'Tabla_Ocurrencia Insideo'!C35</f>
        <v>S</v>
      </c>
      <c r="B38" s="17" t="str">
        <f>'Tabla_Ocurrencia Insideo'!D35</f>
        <v>168,75° – 191,25°</v>
      </c>
      <c r="C38" s="17" t="str">
        <f>'Tabla_Ocurrencia Insideo'!A35</f>
        <v>3.0 - 3.5</v>
      </c>
      <c r="D38" s="17" t="str">
        <f>'Tabla_Ocurrencia Insideo'!B35</f>
        <v>8.0 - 11.0</v>
      </c>
      <c r="E38" s="17">
        <f>'Tabla_Ocurrencia Insideo'!H35</f>
        <v>181.72547770700601</v>
      </c>
      <c r="F38" s="17">
        <f>'Tabla_Ocurrencia Insideo'!F35</f>
        <v>3.2122101910828</v>
      </c>
      <c r="G38" s="17">
        <f>'Tabla_Ocurrencia Insideo'!G35</f>
        <v>9.34895541401273</v>
      </c>
      <c r="H38" s="18">
        <f>'Tabla_Ocurrencia Insideo'!I35</f>
        <v>3.922783627250603E-3</v>
      </c>
      <c r="I38" s="19">
        <f>'Tabla_Ocurrencia Insideo'!J35</f>
        <v>1.4318160239464703</v>
      </c>
    </row>
    <row r="39" spans="1:9" ht="15.6" x14ac:dyDescent="0.3">
      <c r="A39" s="16" t="str">
        <f>'Tabla_Ocurrencia Insideo'!C36</f>
        <v>NW</v>
      </c>
      <c r="B39" s="17" t="str">
        <f>'Tabla_Ocurrencia Insideo'!D36</f>
        <v>303,75° – 326,25°</v>
      </c>
      <c r="C39" s="17" t="str">
        <f>'Tabla_Ocurrencia Insideo'!A36</f>
        <v>1.5 - 2.0</v>
      </c>
      <c r="D39" s="17" t="str">
        <f>'Tabla_Ocurrencia Insideo'!B36</f>
        <v>17.0 - 20.0</v>
      </c>
      <c r="E39" s="17">
        <f>'Tabla_Ocurrencia Insideo'!H36</f>
        <v>304.33225597931403</v>
      </c>
      <c r="F39" s="17">
        <f>'Tabla_Ocurrencia Insideo'!F36</f>
        <v>1.7640012928248201</v>
      </c>
      <c r="G39" s="17">
        <f>'Tabla_Ocurrencia Insideo'!G36</f>
        <v>18.4425210084033</v>
      </c>
      <c r="H39" s="18">
        <f>'Tabla_Ocurrencia Insideo'!I36</f>
        <v>3.8653160964055308E-3</v>
      </c>
      <c r="I39" s="19">
        <f>'Tabla_Ocurrencia Insideo'!J36</f>
        <v>1.4108403751880187</v>
      </c>
    </row>
    <row r="40" spans="1:9" ht="15.6" x14ac:dyDescent="0.3">
      <c r="A40" s="16" t="str">
        <f>'Tabla_Ocurrencia Insideo'!C37</f>
        <v>WNW</v>
      </c>
      <c r="B40" s="17" t="str">
        <f>'Tabla_Ocurrencia Insideo'!D37</f>
        <v>281,25° – 303,75°</v>
      </c>
      <c r="C40" s="17" t="str">
        <f>'Tabla_Ocurrencia Insideo'!A37</f>
        <v>2.0 - 2.5</v>
      </c>
      <c r="D40" s="17" t="str">
        <f>'Tabla_Ocurrencia Insideo'!B37</f>
        <v>17.0 - 20.0</v>
      </c>
      <c r="E40" s="17">
        <f>'Tabla_Ocurrencia Insideo'!H37</f>
        <v>296.842493297587</v>
      </c>
      <c r="F40" s="17">
        <f>'Tabla_Ocurrencia Insideo'!F37</f>
        <v>2.1439410187667498</v>
      </c>
      <c r="G40" s="17">
        <f>'Tabla_Ocurrencia Insideo'!G37</f>
        <v>18.007359249329699</v>
      </c>
      <c r="H40" s="18">
        <f>'Tabla_Ocurrencia Insideo'!I37</f>
        <v>3.7278937400368794E-3</v>
      </c>
      <c r="I40" s="19">
        <f>'Tabla_Ocurrencia Insideo'!J37</f>
        <v>1.3606812151134609</v>
      </c>
    </row>
    <row r="41" spans="1:9" ht="15.6" x14ac:dyDescent="0.3">
      <c r="A41" s="16" t="str">
        <f>'Tabla_Ocurrencia Insideo'!C38</f>
        <v>SW</v>
      </c>
      <c r="B41" s="17" t="str">
        <f>'Tabla_Ocurrencia Insideo'!D38</f>
        <v>213,75° – 236,25°</v>
      </c>
      <c r="C41" s="17" t="str">
        <f>'Tabla_Ocurrencia Insideo'!A38</f>
        <v>2.5 - 3.0</v>
      </c>
      <c r="D41" s="17" t="str">
        <f>'Tabla_Ocurrencia Insideo'!B38</f>
        <v>11.0 - 14.0</v>
      </c>
      <c r="E41" s="17">
        <f>'Tabla_Ocurrencia Insideo'!H38</f>
        <v>218.45363048166701</v>
      </c>
      <c r="F41" s="17">
        <f>'Tabla_Ocurrencia Insideo'!F38</f>
        <v>2.6491876347951102</v>
      </c>
      <c r="G41" s="17">
        <f>'Tabla_Ocurrencia Insideo'!G38</f>
        <v>13.3023795830337</v>
      </c>
      <c r="H41" s="18">
        <f>'Tabla_Ocurrencia Insideo'!I38</f>
        <v>3.4755363219780822E-3</v>
      </c>
      <c r="I41" s="19">
        <f>'Tabla_Ocurrencia Insideo'!J38</f>
        <v>1.268570757522</v>
      </c>
    </row>
    <row r="42" spans="1:9" ht="15.6" x14ac:dyDescent="0.3">
      <c r="A42" s="16" t="str">
        <f>'Tabla_Ocurrencia Insideo'!C39</f>
        <v>SW</v>
      </c>
      <c r="B42" s="17" t="str">
        <f>'Tabla_Ocurrencia Insideo'!D39</f>
        <v>213,75° – 236,25°</v>
      </c>
      <c r="C42" s="17" t="str">
        <f>'Tabla_Ocurrencia Insideo'!A39</f>
        <v>3.0 - 3.5</v>
      </c>
      <c r="D42" s="17" t="str">
        <f>'Tabla_Ocurrencia Insideo'!B39</f>
        <v>17.0 - 20.0</v>
      </c>
      <c r="E42" s="17">
        <f>'Tabla_Ocurrencia Insideo'!H39</f>
        <v>218.20436363636301</v>
      </c>
      <c r="F42" s="17">
        <f>'Tabla_Ocurrencia Insideo'!F39</f>
        <v>3.1931999999999898</v>
      </c>
      <c r="G42" s="17">
        <f>'Tabla_Ocurrencia Insideo'!G39</f>
        <v>17.950327272727201</v>
      </c>
      <c r="H42" s="18">
        <f>'Tabla_Ocurrencia Insideo'!I39</f>
        <v>3.435558909216293E-3</v>
      </c>
      <c r="I42" s="19">
        <f>'Tabla_Ocurrencia Insideo'!J39</f>
        <v>1.253979001863947</v>
      </c>
    </row>
    <row r="43" spans="1:9" ht="15.6" x14ac:dyDescent="0.3">
      <c r="A43" s="16" t="str">
        <f>'Tabla_Ocurrencia Insideo'!C40</f>
        <v>SSW</v>
      </c>
      <c r="B43" s="17" t="str">
        <f>'Tabla_Ocurrencia Insideo'!D40</f>
        <v>191,25° – 213,75°</v>
      </c>
      <c r="C43" s="17" t="str">
        <f>'Tabla_Ocurrencia Insideo'!A40</f>
        <v>1.0 - 1.5</v>
      </c>
      <c r="D43" s="17" t="str">
        <f>'Tabla_Ocurrencia Insideo'!B40</f>
        <v>8.0 - 11.0</v>
      </c>
      <c r="E43" s="17">
        <f>'Tabla_Ocurrencia Insideo'!H40</f>
        <v>203.396153846153</v>
      </c>
      <c r="F43" s="17">
        <f>'Tabla_Ocurrencia Insideo'!F40</f>
        <v>1.3716769230769199</v>
      </c>
      <c r="G43" s="17">
        <f>'Tabla_Ocurrencia Insideo'!G40</f>
        <v>10.5596923076923</v>
      </c>
      <c r="H43" s="18">
        <f>'Tabla_Ocurrencia Insideo'!I40</f>
        <v>3.2481647868954043E-3</v>
      </c>
      <c r="I43" s="19">
        <f>'Tabla_Ocurrencia Insideo'!J40</f>
        <v>1.1855801472168226</v>
      </c>
    </row>
    <row r="44" spans="1:9" ht="15.6" x14ac:dyDescent="0.3">
      <c r="A44" s="16" t="str">
        <f>'Tabla_Ocurrencia Insideo'!C41</f>
        <v>WNW</v>
      </c>
      <c r="B44" s="17" t="str">
        <f>'Tabla_Ocurrencia Insideo'!D41</f>
        <v>281,25° – 303,75°</v>
      </c>
      <c r="C44" s="17" t="str">
        <f>'Tabla_Ocurrencia Insideo'!A41</f>
        <v>1.0 - 1.5</v>
      </c>
      <c r="D44" s="17" t="str">
        <f>'Tabla_Ocurrencia Insideo'!B41</f>
        <v>14.0 - 17.0</v>
      </c>
      <c r="E44" s="17">
        <f>'Tabla_Ocurrencia Insideo'!H41</f>
        <v>294.04881889763698</v>
      </c>
      <c r="F44" s="17">
        <f>'Tabla_Ocurrencia Insideo'!F41</f>
        <v>1.3744173228346399</v>
      </c>
      <c r="G44" s="17">
        <f>'Tabla_Ocurrencia Insideo'!G41</f>
        <v>15.3621811023622</v>
      </c>
      <c r="H44" s="18">
        <f>'Tabla_Ocurrencia Insideo'!I41</f>
        <v>3.1732071379670487E-3</v>
      </c>
      <c r="I44" s="19">
        <f>'Tabla_Ocurrencia Insideo'!J41</f>
        <v>1.1582206053579727</v>
      </c>
    </row>
    <row r="45" spans="1:9" ht="15.6" x14ac:dyDescent="0.3">
      <c r="A45" s="16" t="str">
        <f>'Tabla_Ocurrencia Insideo'!C42</f>
        <v>SSW</v>
      </c>
      <c r="B45" s="17" t="str">
        <f>'Tabla_Ocurrencia Insideo'!D42</f>
        <v>191,25° – 213,75°</v>
      </c>
      <c r="C45" s="17" t="str">
        <f>'Tabla_Ocurrencia Insideo'!A42</f>
        <v>3.5 - 4.0</v>
      </c>
      <c r="D45" s="17" t="str">
        <f>'Tabla_Ocurrencia Insideo'!B42</f>
        <v>17.0 - 20.0</v>
      </c>
      <c r="E45" s="17">
        <f>'Tabla_Ocurrencia Insideo'!H42</f>
        <v>207.1944</v>
      </c>
      <c r="F45" s="17">
        <f>'Tabla_Ocurrencia Insideo'!F42</f>
        <v>3.6921279999999999</v>
      </c>
      <c r="G45" s="17">
        <f>'Tabla_Ocurrencia Insideo'!G42</f>
        <v>17.895088000000001</v>
      </c>
      <c r="H45" s="18">
        <f>'Tabla_Ocurrencia Insideo'!I42</f>
        <v>3.1232353720148116E-3</v>
      </c>
      <c r="I45" s="19">
        <f>'Tabla_Ocurrencia Insideo'!J42</f>
        <v>1.1399809107854062</v>
      </c>
    </row>
    <row r="46" spans="1:9" ht="15.6" x14ac:dyDescent="0.3">
      <c r="A46" s="16" t="str">
        <f>'Tabla_Ocurrencia Insideo'!C43</f>
        <v>WSW</v>
      </c>
      <c r="B46" s="17" t="str">
        <f>'Tabla_Ocurrencia Insideo'!D43</f>
        <v>236,25° – 258,75°</v>
      </c>
      <c r="C46" s="17" t="str">
        <f>'Tabla_Ocurrencia Insideo'!A43</f>
        <v>1.5 - 2.0</v>
      </c>
      <c r="D46" s="17" t="str">
        <f>'Tabla_Ocurrencia Insideo'!B43</f>
        <v>11.0 - 14.0</v>
      </c>
      <c r="E46" s="17">
        <f>'Tabla_Ocurrencia Insideo'!H43</f>
        <v>242.099214145383</v>
      </c>
      <c r="F46" s="17">
        <f>'Tabla_Ocurrencia Insideo'!F43</f>
        <v>1.69288801571709</v>
      </c>
      <c r="G46" s="17">
        <f>'Tabla_Ocurrencia Insideo'!G43</f>
        <v>13.313909626718999</v>
      </c>
      <c r="H46" s="18">
        <f>'Tabla_Ocurrencia Insideo'!I43</f>
        <v>2.5435628869688626E-3</v>
      </c>
      <c r="I46" s="19">
        <f>'Tabla_Ocurrencia Insideo'!J43</f>
        <v>0.92840045374363489</v>
      </c>
    </row>
    <row r="47" spans="1:9" ht="15.6" x14ac:dyDescent="0.3">
      <c r="A47" s="16" t="str">
        <f>'Tabla_Ocurrencia Insideo'!C44</f>
        <v>S</v>
      </c>
      <c r="B47" s="17" t="str">
        <f>'Tabla_Ocurrencia Insideo'!D44</f>
        <v>168,75° – 191,25°</v>
      </c>
      <c r="C47" s="17" t="str">
        <f>'Tabla_Ocurrencia Insideo'!A44</f>
        <v>2.0 - 2.5</v>
      </c>
      <c r="D47" s="17" t="str">
        <f>'Tabla_Ocurrencia Insideo'!B44</f>
        <v>5.0 - 8.0</v>
      </c>
      <c r="E47" s="17">
        <f>'Tabla_Ocurrencia Insideo'!H44</f>
        <v>178.59381663113001</v>
      </c>
      <c r="F47" s="17">
        <f>'Tabla_Ocurrencia Insideo'!F44</f>
        <v>2.2277292110874201</v>
      </c>
      <c r="G47" s="17">
        <f>'Tabla_Ocurrencia Insideo'!G44</f>
        <v>7.5193283582089503</v>
      </c>
      <c r="H47" s="18">
        <f>'Tabla_Ocurrencia Insideo'!I44</f>
        <v>2.3436758231599147E-3</v>
      </c>
      <c r="I47" s="19">
        <f>'Tabla_Ocurrencia Insideo'!J44</f>
        <v>0.8554416754533688</v>
      </c>
    </row>
    <row r="48" spans="1:9" ht="15.6" x14ac:dyDescent="0.3">
      <c r="A48" s="16" t="str">
        <f>'Tabla_Ocurrencia Insideo'!C45</f>
        <v>SSW</v>
      </c>
      <c r="B48" s="17" t="str">
        <f>'Tabla_Ocurrencia Insideo'!D45</f>
        <v>191,25° – 213,75°</v>
      </c>
      <c r="C48" s="17" t="str">
        <f>'Tabla_Ocurrencia Insideo'!A45</f>
        <v>3.0 - 3.5</v>
      </c>
      <c r="D48" s="17" t="str">
        <f>'Tabla_Ocurrencia Insideo'!B45</f>
        <v>11.0 - 14.0</v>
      </c>
      <c r="E48" s="17">
        <f>'Tabla_Ocurrencia Insideo'!H45</f>
        <v>201.62456946039001</v>
      </c>
      <c r="F48" s="17">
        <f>'Tabla_Ocurrencia Insideo'!F45</f>
        <v>3.16610792192881</v>
      </c>
      <c r="G48" s="17">
        <f>'Tabla_Ocurrencia Insideo'!G45</f>
        <v>13.148737083811699</v>
      </c>
      <c r="H48" s="18">
        <f>'Tabla_Ocurrencia Insideo'!I45</f>
        <v>2.1762704072199207E-3</v>
      </c>
      <c r="I48" s="19">
        <f>'Tabla_Ocurrencia Insideo'!J45</f>
        <v>0.79433869863527107</v>
      </c>
    </row>
    <row r="49" spans="1:9" ht="15.6" x14ac:dyDescent="0.3">
      <c r="A49" s="16" t="str">
        <f>'Tabla_Ocurrencia Insideo'!C46</f>
        <v>S</v>
      </c>
      <c r="B49" s="17" t="str">
        <f>'Tabla_Ocurrencia Insideo'!D46</f>
        <v>168,75° – 191,25°</v>
      </c>
      <c r="C49" s="17" t="str">
        <f>'Tabla_Ocurrencia Insideo'!A46</f>
        <v>2.0 - 2.5</v>
      </c>
      <c r="D49" s="17" t="str">
        <f>'Tabla_Ocurrencia Insideo'!B46</f>
        <v>11.0 - 14.0</v>
      </c>
      <c r="E49" s="17">
        <f>'Tabla_Ocurrencia Insideo'!H46</f>
        <v>188.294334975369</v>
      </c>
      <c r="F49" s="17">
        <f>'Tabla_Ocurrencia Insideo'!F46</f>
        <v>2.23033251231527</v>
      </c>
      <c r="G49" s="17">
        <f>'Tabla_Ocurrencia Insideo'!G46</f>
        <v>12.0664778325123</v>
      </c>
      <c r="H49" s="18">
        <f>'Tabla_Ocurrencia Insideo'!I46</f>
        <v>2.0288536976608216E-3</v>
      </c>
      <c r="I49" s="19">
        <f>'Tabla_Ocurrencia Insideo'!J46</f>
        <v>0.74053159964619986</v>
      </c>
    </row>
    <row r="50" spans="1:9" ht="15.6" x14ac:dyDescent="0.3">
      <c r="A50" s="16" t="str">
        <f>'Tabla_Ocurrencia Insideo'!C47</f>
        <v>S</v>
      </c>
      <c r="B50" s="17" t="str">
        <f>'Tabla_Ocurrencia Insideo'!D47</f>
        <v>168,75° – 191,25°</v>
      </c>
      <c r="C50" s="17" t="str">
        <f>'Tabla_Ocurrencia Insideo'!A47</f>
        <v>1.5 - 2.0</v>
      </c>
      <c r="D50" s="17" t="str">
        <f>'Tabla_Ocurrencia Insideo'!B47</f>
        <v>11.0 - 14.0</v>
      </c>
      <c r="E50" s="17">
        <f>'Tabla_Ocurrencia Insideo'!H47</f>
        <v>188.61079545454501</v>
      </c>
      <c r="F50" s="17">
        <f>'Tabla_Ocurrencia Insideo'!F47</f>
        <v>1.8165340909090899</v>
      </c>
      <c r="G50" s="17">
        <f>'Tabla_Ocurrencia Insideo'!G47</f>
        <v>11.669303977272699</v>
      </c>
      <c r="H50" s="18">
        <f>'Tabla_Ocurrencia Insideo'!I47</f>
        <v>1.759006161518742E-3</v>
      </c>
      <c r="I50" s="19">
        <f>'Tabla_Ocurrencia Insideo'!J47</f>
        <v>0.64203724895434078</v>
      </c>
    </row>
    <row r="51" spans="1:9" ht="15.6" x14ac:dyDescent="0.3">
      <c r="A51" s="16" t="str">
        <f>'Tabla_Ocurrencia Insideo'!C48</f>
        <v>SW</v>
      </c>
      <c r="B51" s="17" t="str">
        <f>'Tabla_Ocurrencia Insideo'!D48</f>
        <v>213,75° – 236,25°</v>
      </c>
      <c r="C51" s="17" t="str">
        <f>'Tabla_Ocurrencia Insideo'!A48</f>
        <v>2.0 - 2.5</v>
      </c>
      <c r="D51" s="17" t="str">
        <f>'Tabla_Ocurrencia Insideo'!B48</f>
        <v>20.0 - 23.0</v>
      </c>
      <c r="E51" s="17">
        <f>'Tabla_Ocurrencia Insideo'!H48</f>
        <v>219.14970059880201</v>
      </c>
      <c r="F51" s="17">
        <f>'Tabla_Ocurrencia Insideo'!F48</f>
        <v>2.2197455089820299</v>
      </c>
      <c r="G51" s="17">
        <f>'Tabla_Ocurrencia Insideo'!G48</f>
        <v>21.022514970059799</v>
      </c>
      <c r="H51" s="18">
        <f>'Tabla_Ocurrencia Insideo'!I48</f>
        <v>1.6690569828047154E-3</v>
      </c>
      <c r="I51" s="19">
        <f>'Tabla_Ocurrencia Insideo'!J48</f>
        <v>0.60920579872372105</v>
      </c>
    </row>
    <row r="52" spans="1:9" ht="15.6" x14ac:dyDescent="0.3">
      <c r="A52" s="16" t="str">
        <f>'Tabla_Ocurrencia Insideo'!C49</f>
        <v>SSW</v>
      </c>
      <c r="B52" s="17" t="str">
        <f>'Tabla_Ocurrencia Insideo'!D49</f>
        <v>191,25° – 213,75°</v>
      </c>
      <c r="C52" s="17" t="str">
        <f>'Tabla_Ocurrencia Insideo'!A49</f>
        <v>2.0 - 2.5</v>
      </c>
      <c r="D52" s="17" t="str">
        <f>'Tabla_Ocurrencia Insideo'!B49</f>
        <v>8.0 - 11.0</v>
      </c>
      <c r="E52" s="17">
        <f>'Tabla_Ocurrencia Insideo'!H49</f>
        <v>198.31554878048701</v>
      </c>
      <c r="F52" s="17">
        <f>'Tabla_Ocurrencia Insideo'!F49</f>
        <v>2.19685975609756</v>
      </c>
      <c r="G52" s="17">
        <f>'Tabla_Ocurrencia Insideo'!G49</f>
        <v>10.530411585365799</v>
      </c>
      <c r="H52" s="18">
        <f>'Tabla_Ocurrencia Insideo'!I49</f>
        <v>1.6390739232333732E-3</v>
      </c>
      <c r="I52" s="19">
        <f>'Tabla_Ocurrencia Insideo'!J49</f>
        <v>0.59826198198018121</v>
      </c>
    </row>
    <row r="53" spans="1:9" ht="15.6" x14ac:dyDescent="0.3">
      <c r="A53" s="16" t="str">
        <f>'Tabla_Ocurrencia Insideo'!C50</f>
        <v>SSW</v>
      </c>
      <c r="B53" s="17" t="str">
        <f>'Tabla_Ocurrencia Insideo'!D50</f>
        <v>191,25° – 213,75°</v>
      </c>
      <c r="C53" s="17" t="str">
        <f>'Tabla_Ocurrencia Insideo'!A50</f>
        <v>1.0 - 1.5</v>
      </c>
      <c r="D53" s="17" t="str">
        <f>'Tabla_Ocurrencia Insideo'!B50</f>
        <v>14.0 - 17.0</v>
      </c>
      <c r="E53" s="17">
        <f>'Tabla_Ocurrencia Insideo'!H50</f>
        <v>206.93418940609899</v>
      </c>
      <c r="F53" s="17">
        <f>'Tabla_Ocurrencia Insideo'!F50</f>
        <v>1.41393258426966</v>
      </c>
      <c r="G53" s="17">
        <f>'Tabla_Ocurrencia Insideo'!G50</f>
        <v>14.980609951845899</v>
      </c>
      <c r="H53" s="18">
        <f>'Tabla_Ocurrencia Insideo'!I50</f>
        <v>1.556620509412182E-3</v>
      </c>
      <c r="I53" s="19">
        <f>'Tabla_Ocurrencia Insideo'!J50</f>
        <v>0.5681664859354465</v>
      </c>
    </row>
    <row r="54" spans="1:9" ht="15.6" x14ac:dyDescent="0.3">
      <c r="A54" s="16" t="str">
        <f>'Tabla_Ocurrencia Insideo'!C51</f>
        <v>WSW</v>
      </c>
      <c r="B54" s="17" t="str">
        <f>'Tabla_Ocurrencia Insideo'!D51</f>
        <v>236,25° – 258,75°</v>
      </c>
      <c r="C54" s="17" t="str">
        <f>'Tabla_Ocurrencia Insideo'!A51</f>
        <v>1.0 - 1.5</v>
      </c>
      <c r="D54" s="17" t="str">
        <f>'Tabla_Ocurrencia Insideo'!B51</f>
        <v>14.0 - 17.0</v>
      </c>
      <c r="E54" s="17">
        <f>'Tabla_Ocurrencia Insideo'!H51</f>
        <v>245.52912621359201</v>
      </c>
      <c r="F54" s="17">
        <f>'Tabla_Ocurrencia Insideo'!F51</f>
        <v>1.39839805825242</v>
      </c>
      <c r="G54" s="17">
        <f>'Tabla_Ocurrencia Insideo'!G51</f>
        <v>14.9042718446601</v>
      </c>
      <c r="H54" s="18">
        <f>'Tabla_Ocurrencia Insideo'!I51</f>
        <v>1.5441275679241228E-3</v>
      </c>
      <c r="I54" s="19">
        <f>'Tabla_Ocurrencia Insideo'!J51</f>
        <v>0.56360656229230488</v>
      </c>
    </row>
    <row r="55" spans="1:9" ht="15.6" x14ac:dyDescent="0.3">
      <c r="A55" s="16" t="str">
        <f>'Tabla_Ocurrencia Insideo'!C52</f>
        <v>S</v>
      </c>
      <c r="B55" s="17" t="str">
        <f>'Tabla_Ocurrencia Insideo'!D52</f>
        <v>168,75° – 191,25°</v>
      </c>
      <c r="C55" s="17" t="str">
        <f>'Tabla_Ocurrencia Insideo'!A52</f>
        <v>3.5 - 4.0</v>
      </c>
      <c r="D55" s="17" t="str">
        <f>'Tabla_Ocurrencia Insideo'!B52</f>
        <v>8.0 - 11.0</v>
      </c>
      <c r="E55" s="17">
        <f>'Tabla_Ocurrencia Insideo'!H52</f>
        <v>181.34364820846901</v>
      </c>
      <c r="F55" s="17">
        <f>'Tabla_Ocurrencia Insideo'!F52</f>
        <v>3.6845276872964101</v>
      </c>
      <c r="G55" s="17">
        <f>'Tabla_Ocurrencia Insideo'!G52</f>
        <v>9.7522149837133494</v>
      </c>
      <c r="H55" s="18">
        <f>'Tabla_Ocurrencia Insideo'!I52</f>
        <v>1.5341332147336755E-3</v>
      </c>
      <c r="I55" s="19">
        <f>'Tabla_Ocurrencia Insideo'!J52</f>
        <v>0.55995862337779156</v>
      </c>
    </row>
    <row r="56" spans="1:9" ht="15.6" x14ac:dyDescent="0.3">
      <c r="A56" s="16" t="str">
        <f>'Tabla_Ocurrencia Insideo'!C53</f>
        <v>WSW</v>
      </c>
      <c r="B56" s="17" t="str">
        <f>'Tabla_Ocurrencia Insideo'!D53</f>
        <v>236,25° – 258,75°</v>
      </c>
      <c r="C56" s="17" t="str">
        <f>'Tabla_Ocurrencia Insideo'!A53</f>
        <v>1.0 - 1.5</v>
      </c>
      <c r="D56" s="17" t="str">
        <f>'Tabla_Ocurrencia Insideo'!B53</f>
        <v>11.0 - 14.0</v>
      </c>
      <c r="E56" s="17">
        <f>'Tabla_Ocurrencia Insideo'!H53</f>
        <v>243.216887417218</v>
      </c>
      <c r="F56" s="17">
        <f>'Tabla_Ocurrencia Insideo'!F53</f>
        <v>1.3453476821192001</v>
      </c>
      <c r="G56" s="17">
        <f>'Tabla_Ocurrencia Insideo'!G53</f>
        <v>12.994933774834401</v>
      </c>
      <c r="H56" s="18">
        <f>'Tabla_Ocurrencia Insideo'!I53</f>
        <v>1.5091473317575569E-3</v>
      </c>
      <c r="I56" s="19">
        <f>'Tabla_Ocurrencia Insideo'!J53</f>
        <v>0.55083877609150833</v>
      </c>
    </row>
    <row r="57" spans="1:9" ht="15.6" x14ac:dyDescent="0.3">
      <c r="A57" s="16" t="str">
        <f>'Tabla_Ocurrencia Insideo'!C54</f>
        <v>W</v>
      </c>
      <c r="B57" s="17" t="str">
        <f>'Tabla_Ocurrencia Insideo'!D54</f>
        <v>258,75° – 281,25°</v>
      </c>
      <c r="C57" s="17" t="str">
        <f>'Tabla_Ocurrencia Insideo'!A54</f>
        <v>1.0 - 1.5</v>
      </c>
      <c r="D57" s="17" t="str">
        <f>'Tabla_Ocurrencia Insideo'!B54</f>
        <v>14.0 - 17.0</v>
      </c>
      <c r="E57" s="17">
        <f>'Tabla_Ocurrencia Insideo'!H54</f>
        <v>270.46566164154098</v>
      </c>
      <c r="F57" s="17">
        <f>'Tabla_Ocurrencia Insideo'!F54</f>
        <v>1.3692964824120599</v>
      </c>
      <c r="G57" s="17">
        <f>'Tabla_Ocurrencia Insideo'!G54</f>
        <v>14.9126968174204</v>
      </c>
      <c r="H57" s="18">
        <f>'Tabla_Ocurrencia Insideo'!I54</f>
        <v>1.491657213674274E-3</v>
      </c>
      <c r="I57" s="19">
        <f>'Tabla_Ocurrencia Insideo'!J54</f>
        <v>0.54445488299111</v>
      </c>
    </row>
    <row r="58" spans="1:9" ht="15.6" x14ac:dyDescent="0.3">
      <c r="A58" s="16" t="str">
        <f>'Tabla_Ocurrencia Insideo'!C55</f>
        <v>S</v>
      </c>
      <c r="B58" s="17" t="str">
        <f>'Tabla_Ocurrencia Insideo'!D55</f>
        <v>168,75° – 191,25°</v>
      </c>
      <c r="C58" s="17" t="str">
        <f>'Tabla_Ocurrencia Insideo'!A55</f>
        <v>2.0 - 2.5</v>
      </c>
      <c r="D58" s="17" t="str">
        <f>'Tabla_Ocurrencia Insideo'!B55</f>
        <v>14.0 - 17.0</v>
      </c>
      <c r="E58" s="17">
        <f>'Tabla_Ocurrencia Insideo'!H55</f>
        <v>189.610738255033</v>
      </c>
      <c r="F58" s="17">
        <f>'Tabla_Ocurrencia Insideo'!F55</f>
        <v>2.23085570469798</v>
      </c>
      <c r="G58" s="17">
        <f>'Tabla_Ocurrencia Insideo'!G55</f>
        <v>15.113775167785199</v>
      </c>
      <c r="H58" s="18">
        <f>'Tabla_Ocurrencia Insideo'!I55</f>
        <v>1.4891586253766621E-3</v>
      </c>
      <c r="I58" s="19">
        <f>'Tabla_Ocurrencia Insideo'!J55</f>
        <v>0.5435428982624817</v>
      </c>
    </row>
    <row r="59" spans="1:9" ht="15.6" x14ac:dyDescent="0.3">
      <c r="A59" s="16" t="str">
        <f>'Tabla_Ocurrencia Insideo'!C56</f>
        <v>WNW</v>
      </c>
      <c r="B59" s="17" t="str">
        <f>'Tabla_Ocurrencia Insideo'!D56</f>
        <v>281,25° – 303,75°</v>
      </c>
      <c r="C59" s="17" t="str">
        <f>'Tabla_Ocurrencia Insideo'!A56</f>
        <v>1.0 - 1.5</v>
      </c>
      <c r="D59" s="17" t="str">
        <f>'Tabla_Ocurrencia Insideo'!B56</f>
        <v>17.0 - 20.0</v>
      </c>
      <c r="E59" s="17">
        <f>'Tabla_Ocurrencia Insideo'!H56</f>
        <v>299.13752122240999</v>
      </c>
      <c r="F59" s="17">
        <f>'Tabla_Ocurrencia Insideo'!F56</f>
        <v>1.3762139219015199</v>
      </c>
      <c r="G59" s="17">
        <f>'Tabla_Ocurrencia Insideo'!G56</f>
        <v>18.107113752122199</v>
      </c>
      <c r="H59" s="18">
        <f>'Tabla_Ocurrencia Insideo'!I56</f>
        <v>1.4716685072933792E-3</v>
      </c>
      <c r="I59" s="19">
        <f>'Tabla_Ocurrencia Insideo'!J56</f>
        <v>0.53715900516208337</v>
      </c>
    </row>
    <row r="60" spans="1:9" ht="15.6" x14ac:dyDescent="0.3">
      <c r="A60" s="16" t="str">
        <f>'Tabla_Ocurrencia Insideo'!C57</f>
        <v>W</v>
      </c>
      <c r="B60" s="17" t="str">
        <f>'Tabla_Ocurrencia Insideo'!D57</f>
        <v>258,75° – 281,25°</v>
      </c>
      <c r="C60" s="17" t="str">
        <f>'Tabla_Ocurrencia Insideo'!A57</f>
        <v>2.0 - 2.5</v>
      </c>
      <c r="D60" s="17" t="str">
        <f>'Tabla_Ocurrencia Insideo'!B57</f>
        <v>14.0 - 17.0</v>
      </c>
      <c r="E60" s="17">
        <f>'Tabla_Ocurrencia Insideo'!H57</f>
        <v>268.00529100529099</v>
      </c>
      <c r="F60" s="17">
        <f>'Tabla_Ocurrencia Insideo'!F57</f>
        <v>2.1507054673721302</v>
      </c>
      <c r="G60" s="17">
        <f>'Tabla_Ocurrencia Insideo'!G57</f>
        <v>15.8366843033509</v>
      </c>
      <c r="H60" s="18">
        <f>'Tabla_Ocurrencia Insideo'!I57</f>
        <v>1.4166995647459186E-3</v>
      </c>
      <c r="I60" s="19">
        <f>'Tabla_Ocurrencia Insideo'!J57</f>
        <v>0.5170953411322603</v>
      </c>
    </row>
    <row r="61" spans="1:9" ht="15.6" x14ac:dyDescent="0.3">
      <c r="A61" s="16" t="str">
        <f>'Tabla_Ocurrencia Insideo'!C58</f>
        <v>W</v>
      </c>
      <c r="B61" s="17" t="str">
        <f>'Tabla_Ocurrencia Insideo'!D58</f>
        <v>258,75° – 281,25°</v>
      </c>
      <c r="C61" s="17" t="str">
        <f>'Tabla_Ocurrencia Insideo'!A58</f>
        <v>1.5 - 2.0</v>
      </c>
      <c r="D61" s="17" t="str">
        <f>'Tabla_Ocurrencia Insideo'!B58</f>
        <v>17.0 - 20.0</v>
      </c>
      <c r="E61" s="17">
        <f>'Tabla_Ocurrencia Insideo'!H58</f>
        <v>271.08058608058599</v>
      </c>
      <c r="F61" s="17">
        <f>'Tabla_Ocurrencia Insideo'!F58</f>
        <v>1.8000732600732601</v>
      </c>
      <c r="G61" s="17">
        <f>'Tabla_Ocurrencia Insideo'!G58</f>
        <v>17.8800732600732</v>
      </c>
      <c r="H61" s="18">
        <f>'Tabla_Ocurrencia Insideo'!I58</f>
        <v>1.3642292104960698E-3</v>
      </c>
      <c r="I61" s="19">
        <f>'Tabla_Ocurrencia Insideo'!J58</f>
        <v>0.49794366183106542</v>
      </c>
    </row>
    <row r="62" spans="1:9" ht="15.6" x14ac:dyDescent="0.3">
      <c r="A62" s="16" t="str">
        <f>'Tabla_Ocurrencia Insideo'!C59</f>
        <v>WSW</v>
      </c>
      <c r="B62" s="17" t="str">
        <f>'Tabla_Ocurrencia Insideo'!D59</f>
        <v>236,25° – 258,75°</v>
      </c>
      <c r="C62" s="17" t="str">
        <f>'Tabla_Ocurrencia Insideo'!A59</f>
        <v>1.5 - 2.0</v>
      </c>
      <c r="D62" s="17" t="str">
        <f>'Tabla_Ocurrencia Insideo'!B59</f>
        <v>17.0 - 20.0</v>
      </c>
      <c r="E62" s="17">
        <f>'Tabla_Ocurrencia Insideo'!H59</f>
        <v>246.25276752767499</v>
      </c>
      <c r="F62" s="17">
        <f>'Tabla_Ocurrencia Insideo'!F59</f>
        <v>1.79885608856088</v>
      </c>
      <c r="G62" s="17">
        <f>'Tabla_Ocurrencia Insideo'!G59</f>
        <v>17.844963099630899</v>
      </c>
      <c r="H62" s="18">
        <f>'Tabla_Ocurrencia Insideo'!I59</f>
        <v>1.3542348573056223E-3</v>
      </c>
      <c r="I62" s="19">
        <f>'Tabla_Ocurrencia Insideo'!J59</f>
        <v>0.49429572291655216</v>
      </c>
    </row>
    <row r="63" spans="1:9" ht="15.6" x14ac:dyDescent="0.3">
      <c r="A63" s="16" t="str">
        <f>'Tabla_Ocurrencia Insideo'!C60</f>
        <v>SW</v>
      </c>
      <c r="B63" s="17" t="str">
        <f>'Tabla_Ocurrencia Insideo'!D60</f>
        <v>213,75° – 236,25°</v>
      </c>
      <c r="C63" s="17" t="str">
        <f>'Tabla_Ocurrencia Insideo'!A60</f>
        <v>1.0 - 1.5</v>
      </c>
      <c r="D63" s="17" t="str">
        <f>'Tabla_Ocurrencia Insideo'!B60</f>
        <v>8.0 - 11.0</v>
      </c>
      <c r="E63" s="17">
        <f>'Tabla_Ocurrencia Insideo'!H60</f>
        <v>219.557407407407</v>
      </c>
      <c r="F63" s="17">
        <f>'Tabla_Ocurrencia Insideo'!F60</f>
        <v>1.32124074074074</v>
      </c>
      <c r="G63" s="17">
        <f>'Tabla_Ocurrencia Insideo'!G60</f>
        <v>10.7995185185185</v>
      </c>
      <c r="H63" s="18">
        <f>'Tabla_Ocurrencia Insideo'!I60</f>
        <v>1.3492376807103987E-3</v>
      </c>
      <c r="I63" s="19">
        <f>'Tabla_Ocurrencia Insideo'!J60</f>
        <v>0.4924717534592955</v>
      </c>
    </row>
    <row r="64" spans="1:9" ht="15.6" x14ac:dyDescent="0.3">
      <c r="A64" s="16" t="str">
        <f>'Tabla_Ocurrencia Insideo'!C61</f>
        <v>NW</v>
      </c>
      <c r="B64" s="17" t="str">
        <f>'Tabla_Ocurrencia Insideo'!D61</f>
        <v>303,75° – 326,25°</v>
      </c>
      <c r="C64" s="17" t="str">
        <f>'Tabla_Ocurrencia Insideo'!A61</f>
        <v>2.0 - 2.5</v>
      </c>
      <c r="D64" s="17" t="str">
        <f>'Tabla_Ocurrencia Insideo'!B61</f>
        <v>17.0 - 20.0</v>
      </c>
      <c r="E64" s="17">
        <f>'Tabla_Ocurrencia Insideo'!H61</f>
        <v>304.17790262172201</v>
      </c>
      <c r="F64" s="17">
        <f>'Tabla_Ocurrencia Insideo'!F61</f>
        <v>2.0952621722846398</v>
      </c>
      <c r="G64" s="17">
        <f>'Tabla_Ocurrencia Insideo'!G61</f>
        <v>18.745655430711601</v>
      </c>
      <c r="H64" s="18">
        <f>'Tabla_Ocurrencia Insideo'!I61</f>
        <v>1.3342461509247274E-3</v>
      </c>
      <c r="I64" s="19">
        <f>'Tabla_Ocurrencia Insideo'!J61</f>
        <v>0.48699984508752553</v>
      </c>
    </row>
    <row r="65" spans="1:9" ht="15.6" x14ac:dyDescent="0.3">
      <c r="A65" s="16" t="str">
        <f>'Tabla_Ocurrencia Insideo'!C62</f>
        <v>WNW</v>
      </c>
      <c r="B65" s="17" t="str">
        <f>'Tabla_Ocurrencia Insideo'!D62</f>
        <v>281,25° – 303,75°</v>
      </c>
      <c r="C65" s="17" t="str">
        <f>'Tabla_Ocurrencia Insideo'!A62</f>
        <v>2.0 - 2.5</v>
      </c>
      <c r="D65" s="17" t="str">
        <f>'Tabla_Ocurrencia Insideo'!B62</f>
        <v>14.0 - 17.0</v>
      </c>
      <c r="E65" s="17">
        <f>'Tabla_Ocurrencia Insideo'!H62</f>
        <v>293.45674044265502</v>
      </c>
      <c r="F65" s="17">
        <f>'Tabla_Ocurrencia Insideo'!F62</f>
        <v>2.1050503018108602</v>
      </c>
      <c r="G65" s="17">
        <f>'Tabla_Ocurrencia Insideo'!G62</f>
        <v>16.1348490945674</v>
      </c>
      <c r="H65" s="18">
        <f>'Tabla_Ocurrencia Insideo'!I62</f>
        <v>1.2417983839130892E-3</v>
      </c>
      <c r="I65" s="19">
        <f>'Tabla_Ocurrencia Insideo'!J62</f>
        <v>0.4532564101282775</v>
      </c>
    </row>
    <row r="66" spans="1:9" ht="15.6" x14ac:dyDescent="0.3">
      <c r="A66" s="16" t="str">
        <f>'Tabla_Ocurrencia Insideo'!C63</f>
        <v>S</v>
      </c>
      <c r="B66" s="17" t="str">
        <f>'Tabla_Ocurrencia Insideo'!D63</f>
        <v>168,75° – 191,25°</v>
      </c>
      <c r="C66" s="17" t="str">
        <f>'Tabla_Ocurrencia Insideo'!A63</f>
        <v>1.5 - 2.0</v>
      </c>
      <c r="D66" s="17" t="str">
        <f>'Tabla_Ocurrencia Insideo'!B63</f>
        <v>5.0 - 8.0</v>
      </c>
      <c r="E66" s="17">
        <f>'Tabla_Ocurrencia Insideo'!H63</f>
        <v>180.03813559322001</v>
      </c>
      <c r="F66" s="17">
        <f>'Tabla_Ocurrencia Insideo'!F63</f>
        <v>1.83165254237288</v>
      </c>
      <c r="G66" s="17">
        <f>'Tabla_Ocurrencia Insideo'!G63</f>
        <v>7.3197457627118601</v>
      </c>
      <c r="H66" s="18">
        <f>'Tabla_Ocurrencia Insideo'!I63</f>
        <v>1.1793336764727928E-3</v>
      </c>
      <c r="I66" s="19">
        <f>'Tabla_Ocurrencia Insideo'!J63</f>
        <v>0.43045679191256941</v>
      </c>
    </row>
    <row r="67" spans="1:9" ht="15.6" x14ac:dyDescent="0.3">
      <c r="A67" s="16" t="str">
        <f>'Tabla_Ocurrencia Insideo'!C64</f>
        <v>S</v>
      </c>
      <c r="B67" s="17" t="str">
        <f>'Tabla_Ocurrencia Insideo'!D64</f>
        <v>168,75° – 191,25°</v>
      </c>
      <c r="C67" s="17" t="str">
        <f>'Tabla_Ocurrencia Insideo'!A64</f>
        <v>2.5 - 3.0</v>
      </c>
      <c r="D67" s="17" t="str">
        <f>'Tabla_Ocurrencia Insideo'!B64</f>
        <v>11.0 - 14.0</v>
      </c>
      <c r="E67" s="17">
        <f>'Tabla_Ocurrencia Insideo'!H64</f>
        <v>187.48045977011401</v>
      </c>
      <c r="F67" s="17">
        <f>'Tabla_Ocurrencia Insideo'!F64</f>
        <v>2.7231264367815999</v>
      </c>
      <c r="G67" s="17">
        <f>'Tabla_Ocurrencia Insideo'!G64</f>
        <v>12.088505747126399</v>
      </c>
      <c r="H67" s="18">
        <f>'Tabla_Ocurrencia Insideo'!I64</f>
        <v>1.0868859094611545E-3</v>
      </c>
      <c r="I67" s="19">
        <f>'Tabla_Ocurrencia Insideo'!J64</f>
        <v>0.39671335695332138</v>
      </c>
    </row>
    <row r="68" spans="1:9" ht="15.6" x14ac:dyDescent="0.3">
      <c r="A68" s="16" t="str">
        <f>'Tabla_Ocurrencia Insideo'!C65</f>
        <v>SW</v>
      </c>
      <c r="B68" s="17" t="str">
        <f>'Tabla_Ocurrencia Insideo'!D65</f>
        <v>213,75° – 236,25°</v>
      </c>
      <c r="C68" s="17" t="str">
        <f>'Tabla_Ocurrencia Insideo'!A65</f>
        <v>1.0 - 1.5</v>
      </c>
      <c r="D68" s="17" t="str">
        <f>'Tabla_Ocurrencia Insideo'!B65</f>
        <v>17.0 - 20.0</v>
      </c>
      <c r="E68" s="17">
        <f>'Tabla_Ocurrencia Insideo'!H65</f>
        <v>222.02163461538399</v>
      </c>
      <c r="F68" s="17">
        <f>'Tabla_Ocurrencia Insideo'!F65</f>
        <v>1.38283653846153</v>
      </c>
      <c r="G68" s="17">
        <f>'Tabla_Ocurrencia Insideo'!G65</f>
        <v>17.943341346153801</v>
      </c>
      <c r="H68" s="18">
        <f>'Tabla_Ocurrencia Insideo'!I65</f>
        <v>1.0394127318065294E-3</v>
      </c>
      <c r="I68" s="19">
        <f>'Tabla_Ocurrencia Insideo'!J65</f>
        <v>0.37938564710938322</v>
      </c>
    </row>
    <row r="69" spans="1:9" ht="15.6" x14ac:dyDescent="0.3">
      <c r="A69" s="16" t="str">
        <f>'Tabla_Ocurrencia Insideo'!C66</f>
        <v>SW</v>
      </c>
      <c r="B69" s="17" t="str">
        <f>'Tabla_Ocurrencia Insideo'!D66</f>
        <v>213,75° – 236,25°</v>
      </c>
      <c r="C69" s="17" t="str">
        <f>'Tabla_Ocurrencia Insideo'!A66</f>
        <v>3.5 - 4.0</v>
      </c>
      <c r="D69" s="17" t="str">
        <f>'Tabla_Ocurrencia Insideo'!B66</f>
        <v>14.0 - 17.0</v>
      </c>
      <c r="E69" s="17">
        <f>'Tabla_Ocurrencia Insideo'!H66</f>
        <v>217.58394160583899</v>
      </c>
      <c r="F69" s="17">
        <f>'Tabla_Ocurrencia Insideo'!F66</f>
        <v>3.6824817518248101</v>
      </c>
      <c r="G69" s="17">
        <f>'Tabla_Ocurrencia Insideo'!G66</f>
        <v>16.0240875912408</v>
      </c>
      <c r="H69" s="18">
        <f>'Tabla_Ocurrencia Insideo'!I66</f>
        <v>1.02691979031847E-3</v>
      </c>
      <c r="I69" s="19">
        <f>'Tabla_Ocurrencia Insideo'!J66</f>
        <v>0.3748257234662416</v>
      </c>
    </row>
    <row r="70" spans="1:9" ht="15.6" x14ac:dyDescent="0.3">
      <c r="A70" s="16" t="str">
        <f>'Tabla_Ocurrencia Insideo'!C67</f>
        <v>W</v>
      </c>
      <c r="B70" s="17" t="str">
        <f>'Tabla_Ocurrencia Insideo'!D67</f>
        <v>258,75° – 281,25°</v>
      </c>
      <c r="C70" s="17" t="str">
        <f>'Tabla_Ocurrencia Insideo'!A67</f>
        <v>2.0 - 2.5</v>
      </c>
      <c r="D70" s="17" t="str">
        <f>'Tabla_Ocurrencia Insideo'!B67</f>
        <v>17.0 - 20.0</v>
      </c>
      <c r="E70" s="17">
        <f>'Tabla_Ocurrencia Insideo'!H67</f>
        <v>272.11369509043902</v>
      </c>
      <c r="F70" s="17">
        <f>'Tabla_Ocurrencia Insideo'!F67</f>
        <v>2.2139793281653701</v>
      </c>
      <c r="G70" s="17">
        <f>'Tabla_Ocurrencia Insideo'!G67</f>
        <v>17.717364341085201</v>
      </c>
      <c r="H70" s="18">
        <f>'Tabla_Ocurrencia Insideo'!I67</f>
        <v>9.6695367117578563E-4</v>
      </c>
      <c r="I70" s="19">
        <f>'Tabla_Ocurrencia Insideo'!J67</f>
        <v>0.35293808997916176</v>
      </c>
    </row>
    <row r="71" spans="1:9" ht="15.6" x14ac:dyDescent="0.3">
      <c r="A71" s="16" t="str">
        <f>'Tabla_Ocurrencia Insideo'!C68</f>
        <v>SW</v>
      </c>
      <c r="B71" s="17" t="str">
        <f>'Tabla_Ocurrencia Insideo'!D68</f>
        <v>213,75° – 236,25°</v>
      </c>
      <c r="C71" s="17" t="str">
        <f>'Tabla_Ocurrencia Insideo'!A68</f>
        <v>1.5 - 2.0</v>
      </c>
      <c r="D71" s="17" t="str">
        <f>'Tabla_Ocurrencia Insideo'!B68</f>
        <v>20.0 - 23.0</v>
      </c>
      <c r="E71" s="17">
        <f>'Tabla_Ocurrencia Insideo'!H68</f>
        <v>220.86243386243299</v>
      </c>
      <c r="F71" s="17">
        <f>'Tabla_Ocurrencia Insideo'!F68</f>
        <v>1.8493386243386201</v>
      </c>
      <c r="G71" s="17">
        <f>'Tabla_Ocurrencia Insideo'!G68</f>
        <v>21.057619047618999</v>
      </c>
      <c r="H71" s="18">
        <f>'Tabla_Ocurrencia Insideo'!I68</f>
        <v>9.4446637649727903E-4</v>
      </c>
      <c r="I71" s="19">
        <f>'Tabla_Ocurrencia Insideo'!J68</f>
        <v>0.34473022742150683</v>
      </c>
    </row>
    <row r="72" spans="1:9" ht="15.6" x14ac:dyDescent="0.3">
      <c r="A72" s="16" t="str">
        <f>'Tabla_Ocurrencia Insideo'!C69</f>
        <v>NW</v>
      </c>
      <c r="B72" s="17" t="str">
        <f>'Tabla_Ocurrencia Insideo'!D69</f>
        <v>303,75° – 326,25°</v>
      </c>
      <c r="C72" s="17" t="str">
        <f>'Tabla_Ocurrencia Insideo'!A69</f>
        <v>1.5 - 2.0</v>
      </c>
      <c r="D72" s="17" t="str">
        <f>'Tabla_Ocurrencia Insideo'!B69</f>
        <v>14.0 - 17.0</v>
      </c>
      <c r="E72" s="17">
        <f>'Tabla_Ocurrencia Insideo'!H69</f>
        <v>304.25</v>
      </c>
      <c r="F72" s="17">
        <f>'Tabla_Ocurrencia Insideo'!F69</f>
        <v>1.6874456521739101</v>
      </c>
      <c r="G72" s="17">
        <f>'Tabla_Ocurrencia Insideo'!G69</f>
        <v>16.0598097826086</v>
      </c>
      <c r="H72" s="18">
        <f>'Tabla_Ocurrencia Insideo'!I69</f>
        <v>9.1948049352116054E-4</v>
      </c>
      <c r="I72" s="19">
        <f>'Tabla_Ocurrencia Insideo'!J69</f>
        <v>0.3356103801352236</v>
      </c>
    </row>
    <row r="73" spans="1:9" ht="15.6" x14ac:dyDescent="0.3">
      <c r="A73" s="16" t="str">
        <f>'Tabla_Ocurrencia Insideo'!C70</f>
        <v>S</v>
      </c>
      <c r="B73" s="17" t="str">
        <f>'Tabla_Ocurrencia Insideo'!D70</f>
        <v>168,75° – 191,25°</v>
      </c>
      <c r="C73" s="17" t="str">
        <f>'Tabla_Ocurrencia Insideo'!A70</f>
        <v>2.5 - 3.0</v>
      </c>
      <c r="D73" s="17" t="str">
        <f>'Tabla_Ocurrencia Insideo'!B70</f>
        <v>5.0 - 8.0</v>
      </c>
      <c r="E73" s="17">
        <f>'Tabla_Ocurrencia Insideo'!H70</f>
        <v>177.69014084507</v>
      </c>
      <c r="F73" s="17">
        <f>'Tabla_Ocurrencia Insideo'!F70</f>
        <v>2.69338028169014</v>
      </c>
      <c r="G73" s="17">
        <f>'Tabla_Ocurrencia Insideo'!G70</f>
        <v>7.6671830985915399</v>
      </c>
      <c r="H73" s="18">
        <f>'Tabla_Ocurrencia Insideo'!I70</f>
        <v>8.8699884565220653E-4</v>
      </c>
      <c r="I73" s="19">
        <f>'Tabla_Ocurrencia Insideo'!J70</f>
        <v>0.32375457866305535</v>
      </c>
    </row>
    <row r="74" spans="1:9" ht="15.6" x14ac:dyDescent="0.3">
      <c r="A74" s="16" t="str">
        <f>'Tabla_Ocurrencia Insideo'!C71</f>
        <v>S</v>
      </c>
      <c r="B74" s="17" t="str">
        <f>'Tabla_Ocurrencia Insideo'!D71</f>
        <v>168,75° – 191,25°</v>
      </c>
      <c r="C74" s="17" t="str">
        <f>'Tabla_Ocurrencia Insideo'!A71</f>
        <v>1.0 - 1.5</v>
      </c>
      <c r="D74" s="17" t="str">
        <f>'Tabla_Ocurrencia Insideo'!B71</f>
        <v>8.0 - 11.0</v>
      </c>
      <c r="E74" s="17">
        <f>'Tabla_Ocurrencia Insideo'!H71</f>
        <v>185.40634005763599</v>
      </c>
      <c r="F74" s="17">
        <f>'Tabla_Ocurrencia Insideo'!F71</f>
        <v>1.3885302593659901</v>
      </c>
      <c r="G74" s="17">
        <f>'Tabla_Ocurrencia Insideo'!G71</f>
        <v>9.6869164265129601</v>
      </c>
      <c r="H74" s="18">
        <f>'Tabla_Ocurrencia Insideo'!I71</f>
        <v>8.670101392713117E-4</v>
      </c>
      <c r="I74" s="19">
        <f>'Tabla_Ocurrencia Insideo'!J71</f>
        <v>0.31645870083402877</v>
      </c>
    </row>
    <row r="75" spans="1:9" ht="15.6" x14ac:dyDescent="0.3">
      <c r="A75" s="16" t="str">
        <f>'Tabla_Ocurrencia Insideo'!C72</f>
        <v>WSW</v>
      </c>
      <c r="B75" s="17" t="str">
        <f>'Tabla_Ocurrencia Insideo'!D72</f>
        <v>236,25° – 258,75°</v>
      </c>
      <c r="C75" s="17" t="str">
        <f>'Tabla_Ocurrencia Insideo'!A72</f>
        <v>2.0 - 2.5</v>
      </c>
      <c r="D75" s="17" t="str">
        <f>'Tabla_Ocurrencia Insideo'!B72</f>
        <v>17.0 - 20.0</v>
      </c>
      <c r="E75" s="17">
        <f>'Tabla_Ocurrencia Insideo'!H72</f>
        <v>244.686217008797</v>
      </c>
      <c r="F75" s="17">
        <f>'Tabla_Ocurrencia Insideo'!F72</f>
        <v>2.1967448680351902</v>
      </c>
      <c r="G75" s="17">
        <f>'Tabla_Ocurrencia Insideo'!G72</f>
        <v>17.917243401759499</v>
      </c>
      <c r="H75" s="18">
        <f>'Tabla_Ocurrencia Insideo'!I72</f>
        <v>8.5201860948564063E-4</v>
      </c>
      <c r="I75" s="19">
        <f>'Tabla_Ocurrencia Insideo'!J72</f>
        <v>0.3109867924622588</v>
      </c>
    </row>
    <row r="76" spans="1:9" ht="15.6" x14ac:dyDescent="0.3">
      <c r="A76" s="16" t="str">
        <f>'Tabla_Ocurrencia Insideo'!C73</f>
        <v>SW</v>
      </c>
      <c r="B76" s="17" t="str">
        <f>'Tabla_Ocurrencia Insideo'!D73</f>
        <v>213,75° – 236,25°</v>
      </c>
      <c r="C76" s="17" t="str">
        <f>'Tabla_Ocurrencia Insideo'!A73</f>
        <v>1.5 - 2.0</v>
      </c>
      <c r="D76" s="17" t="str">
        <f>'Tabla_Ocurrencia Insideo'!B73</f>
        <v>8.0 - 11.0</v>
      </c>
      <c r="E76" s="17">
        <f>'Tabla_Ocurrencia Insideo'!H73</f>
        <v>218.27051671732499</v>
      </c>
      <c r="F76" s="17">
        <f>'Tabla_Ocurrencia Insideo'!F73</f>
        <v>1.6495744680851001</v>
      </c>
      <c r="G76" s="17">
        <f>'Tabla_Ocurrencia Insideo'!G73</f>
        <v>10.8118541033434</v>
      </c>
      <c r="H76" s="18">
        <f>'Tabla_Ocurrencia Insideo'!I73</f>
        <v>8.2203554991429838E-4</v>
      </c>
      <c r="I76" s="19">
        <f>'Tabla_Ocurrencia Insideo'!J73</f>
        <v>0.30004297571871891</v>
      </c>
    </row>
    <row r="77" spans="1:9" ht="15.6" x14ac:dyDescent="0.3">
      <c r="A77" s="16" t="str">
        <f>'Tabla_Ocurrencia Insideo'!C74</f>
        <v>SSW</v>
      </c>
      <c r="B77" s="17" t="str">
        <f>'Tabla_Ocurrencia Insideo'!D74</f>
        <v>191,25° – 213,75°</v>
      </c>
      <c r="C77" s="17" t="str">
        <f>'Tabla_Ocurrencia Insideo'!A74</f>
        <v>2.0 - 2.5</v>
      </c>
      <c r="D77" s="17" t="str">
        <f>'Tabla_Ocurrencia Insideo'!B74</f>
        <v>20.0 - 23.0</v>
      </c>
      <c r="E77" s="17">
        <f>'Tabla_Ocurrencia Insideo'!H74</f>
        <v>206.19873817034701</v>
      </c>
      <c r="F77" s="17">
        <f>'Tabla_Ocurrencia Insideo'!F74</f>
        <v>2.2247634069400601</v>
      </c>
      <c r="G77" s="17">
        <f>'Tabla_Ocurrencia Insideo'!G74</f>
        <v>20.897476340693999</v>
      </c>
      <c r="H77" s="18">
        <f>'Tabla_Ocurrencia Insideo'!I74</f>
        <v>7.9205249034295625E-4</v>
      </c>
      <c r="I77" s="19">
        <f>'Tabla_Ocurrencia Insideo'!J74</f>
        <v>0.28909915897517902</v>
      </c>
    </row>
    <row r="78" spans="1:9" ht="15.6" x14ac:dyDescent="0.3">
      <c r="A78" s="16" t="str">
        <f>'Tabla_Ocurrencia Insideo'!C75</f>
        <v>SW</v>
      </c>
      <c r="B78" s="17" t="str">
        <f>'Tabla_Ocurrencia Insideo'!D75</f>
        <v>213,75° – 236,25°</v>
      </c>
      <c r="C78" s="17" t="str">
        <f>'Tabla_Ocurrencia Insideo'!A75</f>
        <v>3.5 - 4.0</v>
      </c>
      <c r="D78" s="17" t="str">
        <f>'Tabla_Ocurrencia Insideo'!B75</f>
        <v>17.0 - 20.0</v>
      </c>
      <c r="E78" s="17">
        <f>'Tabla_Ocurrencia Insideo'!H75</f>
        <v>217.154574132492</v>
      </c>
      <c r="F78" s="17">
        <f>'Tabla_Ocurrencia Insideo'!F75</f>
        <v>3.6785804416403698</v>
      </c>
      <c r="G78" s="17">
        <f>'Tabla_Ocurrencia Insideo'!G75</f>
        <v>18.034826498422699</v>
      </c>
      <c r="H78" s="18">
        <f>'Tabla_Ocurrencia Insideo'!I75</f>
        <v>7.9205249034295625E-4</v>
      </c>
      <c r="I78" s="19">
        <f>'Tabla_Ocurrencia Insideo'!J75</f>
        <v>0.28909915897517902</v>
      </c>
    </row>
    <row r="79" spans="1:9" ht="15.6" x14ac:dyDescent="0.3">
      <c r="A79" s="16" t="str">
        <f>'Tabla_Ocurrencia Insideo'!C76</f>
        <v>S</v>
      </c>
      <c r="B79" s="17" t="str">
        <f>'Tabla_Ocurrencia Insideo'!D76</f>
        <v>168,75° – 191,25°</v>
      </c>
      <c r="C79" s="17" t="str">
        <f>'Tabla_Ocurrencia Insideo'!A76</f>
        <v>2.5 - 3.0</v>
      </c>
      <c r="D79" s="17" t="str">
        <f>'Tabla_Ocurrencia Insideo'!B76</f>
        <v>14.0 - 17.0</v>
      </c>
      <c r="E79" s="17">
        <f>'Tabla_Ocurrencia Insideo'!H76</f>
        <v>189.52411575562701</v>
      </c>
      <c r="F79" s="17">
        <f>'Tabla_Ocurrencia Insideo'!F76</f>
        <v>2.6930868167202502</v>
      </c>
      <c r="G79" s="17">
        <f>'Tabla_Ocurrencia Insideo'!G76</f>
        <v>15.2661093247588</v>
      </c>
      <c r="H79" s="18">
        <f>'Tabla_Ocurrencia Insideo'!I76</f>
        <v>7.7706096055728518E-4</v>
      </c>
      <c r="I79" s="19">
        <f>'Tabla_Ocurrencia Insideo'!J76</f>
        <v>0.2836272506034091</v>
      </c>
    </row>
    <row r="80" spans="1:9" ht="15.6" x14ac:dyDescent="0.3">
      <c r="A80" s="16" t="str">
        <f>'Tabla_Ocurrencia Insideo'!C77</f>
        <v>S</v>
      </c>
      <c r="B80" s="17" t="str">
        <f>'Tabla_Ocurrencia Insideo'!D77</f>
        <v>168,75° – 191,25°</v>
      </c>
      <c r="C80" s="17" t="str">
        <f>'Tabla_Ocurrencia Insideo'!A77</f>
        <v>1.5 - 2.0</v>
      </c>
      <c r="D80" s="17" t="str">
        <f>'Tabla_Ocurrencia Insideo'!B77</f>
        <v>14.0 - 17.0</v>
      </c>
      <c r="E80" s="17">
        <f>'Tabla_Ocurrencia Insideo'!H77</f>
        <v>187.272425249169</v>
      </c>
      <c r="F80" s="17">
        <f>'Tabla_Ocurrencia Insideo'!F77</f>
        <v>1.7853156146179401</v>
      </c>
      <c r="G80" s="17">
        <f>'Tabla_Ocurrencia Insideo'!G77</f>
        <v>15.365182724252399</v>
      </c>
      <c r="H80" s="18">
        <f>'Tabla_Ocurrencia Insideo'!I77</f>
        <v>7.5207507758116659E-4</v>
      </c>
      <c r="I80" s="19">
        <f>'Tabla_Ocurrencia Insideo'!J77</f>
        <v>0.27450740331712581</v>
      </c>
    </row>
    <row r="81" spans="1:9" ht="15.6" x14ac:dyDescent="0.3">
      <c r="A81" s="16" t="str">
        <f>'Tabla_Ocurrencia Insideo'!C78</f>
        <v>SSW</v>
      </c>
      <c r="B81" s="17" t="str">
        <f>'Tabla_Ocurrencia Insideo'!D78</f>
        <v>191,25° – 213,75°</v>
      </c>
      <c r="C81" s="17" t="str">
        <f>'Tabla_Ocurrencia Insideo'!A78</f>
        <v>4.0 - 4.5</v>
      </c>
      <c r="D81" s="17" t="str">
        <f>'Tabla_Ocurrencia Insideo'!B78</f>
        <v>17.0 - 20.0</v>
      </c>
      <c r="E81" s="17">
        <f>'Tabla_Ocurrencia Insideo'!H78</f>
        <v>205.722222222222</v>
      </c>
      <c r="F81" s="17">
        <f>'Tabla_Ocurrencia Insideo'!F78</f>
        <v>4.13822916666666</v>
      </c>
      <c r="G81" s="17">
        <f>'Tabla_Ocurrencia Insideo'!G78</f>
        <v>17.882118055555502</v>
      </c>
      <c r="H81" s="18">
        <f>'Tabla_Ocurrencia Insideo'!I78</f>
        <v>7.1959342971221257E-4</v>
      </c>
      <c r="I81" s="19">
        <f>'Tabla_Ocurrencia Insideo'!J78</f>
        <v>0.26265160184495762</v>
      </c>
    </row>
    <row r="82" spans="1:9" ht="15.6" x14ac:dyDescent="0.3">
      <c r="A82" s="16" t="str">
        <f>'Tabla_Ocurrencia Insideo'!C79</f>
        <v>NW</v>
      </c>
      <c r="B82" s="17" t="str">
        <f>'Tabla_Ocurrencia Insideo'!D79</f>
        <v>303,75° – 326,25°</v>
      </c>
      <c r="C82" s="17" t="str">
        <f>'Tabla_Ocurrencia Insideo'!A79</f>
        <v>1.5 - 2.0</v>
      </c>
      <c r="D82" s="17" t="str">
        <f>'Tabla_Ocurrencia Insideo'!B79</f>
        <v>20.0 - 23.0</v>
      </c>
      <c r="E82" s="17">
        <f>'Tabla_Ocurrencia Insideo'!H79</f>
        <v>304.24912280701699</v>
      </c>
      <c r="F82" s="17">
        <f>'Tabla_Ocurrencia Insideo'!F79</f>
        <v>1.7516140350877101</v>
      </c>
      <c r="G82" s="17">
        <f>'Tabla_Ocurrencia Insideo'!G79</f>
        <v>21.243578947368398</v>
      </c>
      <c r="H82" s="18">
        <f>'Tabla_Ocurrencia Insideo'!I79</f>
        <v>7.1209766481937704E-4</v>
      </c>
      <c r="I82" s="19">
        <f>'Tabla_Ocurrencia Insideo'!J79</f>
        <v>0.2599156476590726</v>
      </c>
    </row>
    <row r="83" spans="1:9" ht="15.6" x14ac:dyDescent="0.3">
      <c r="A83" s="16" t="str">
        <f>'Tabla_Ocurrencia Insideo'!C80</f>
        <v>SW</v>
      </c>
      <c r="B83" s="17" t="str">
        <f>'Tabla_Ocurrencia Insideo'!D80</f>
        <v>213,75° – 236,25°</v>
      </c>
      <c r="C83" s="17" t="str">
        <f>'Tabla_Ocurrencia Insideo'!A80</f>
        <v>2.5 - 3.0</v>
      </c>
      <c r="D83" s="17" t="str">
        <f>'Tabla_Ocurrencia Insideo'!B80</f>
        <v>20.0 - 23.0</v>
      </c>
      <c r="E83" s="17">
        <f>'Tabla_Ocurrencia Insideo'!H80</f>
        <v>218.84883720930199</v>
      </c>
      <c r="F83" s="17">
        <f>'Tabla_Ocurrencia Insideo'!F80</f>
        <v>2.6820542635658899</v>
      </c>
      <c r="G83" s="17">
        <f>'Tabla_Ocurrencia Insideo'!G80</f>
        <v>20.983139534883701</v>
      </c>
      <c r="H83" s="18">
        <f>'Tabla_Ocurrencia Insideo'!I80</f>
        <v>6.4463578078385712E-4</v>
      </c>
      <c r="I83" s="19">
        <f>'Tabla_Ocurrencia Insideo'!J80</f>
        <v>0.23529205998610786</v>
      </c>
    </row>
    <row r="84" spans="1:9" ht="15.6" x14ac:dyDescent="0.3">
      <c r="A84" s="16" t="str">
        <f>'Tabla_Ocurrencia Insideo'!C81</f>
        <v>SSW</v>
      </c>
      <c r="B84" s="17" t="str">
        <f>'Tabla_Ocurrencia Insideo'!D81</f>
        <v>191,25° – 213,75°</v>
      </c>
      <c r="C84" s="17" t="str">
        <f>'Tabla_Ocurrencia Insideo'!A81</f>
        <v>4.0 - 4.5</v>
      </c>
      <c r="D84" s="17" t="str">
        <f>'Tabla_Ocurrencia Insideo'!B81</f>
        <v>14.0 - 17.0</v>
      </c>
      <c r="E84" s="17">
        <f>'Tabla_Ocurrencia Insideo'!H81</f>
        <v>203.17131474103499</v>
      </c>
      <c r="F84" s="17">
        <f>'Tabla_Ocurrencia Insideo'!F81</f>
        <v>4.14434262948207</v>
      </c>
      <c r="G84" s="17">
        <f>'Tabla_Ocurrencia Insideo'!G81</f>
        <v>15.917768924302701</v>
      </c>
      <c r="H84" s="18">
        <f>'Tabla_Ocurrencia Insideo'!I81</f>
        <v>6.2714566270057417E-4</v>
      </c>
      <c r="I84" s="19">
        <f>'Tabla_Ocurrencia Insideo'!J81</f>
        <v>0.22890816688570959</v>
      </c>
    </row>
    <row r="85" spans="1:9" ht="15.6" x14ac:dyDescent="0.3">
      <c r="A85" s="16" t="str">
        <f>'Tabla_Ocurrencia Insideo'!C82</f>
        <v>SSW</v>
      </c>
      <c r="B85" s="17" t="str">
        <f>'Tabla_Ocurrencia Insideo'!D82</f>
        <v>191,25° – 213,75°</v>
      </c>
      <c r="C85" s="17" t="str">
        <f>'Tabla_Ocurrencia Insideo'!A82</f>
        <v>1.5 - 2.0</v>
      </c>
      <c r="D85" s="17" t="str">
        <f>'Tabla_Ocurrencia Insideo'!B82</f>
        <v>20.0 - 23.0</v>
      </c>
      <c r="E85" s="17">
        <f>'Tabla_Ocurrencia Insideo'!H82</f>
        <v>208.962616822429</v>
      </c>
      <c r="F85" s="17">
        <f>'Tabla_Ocurrencia Insideo'!F82</f>
        <v>1.8260280373831701</v>
      </c>
      <c r="G85" s="17">
        <f>'Tabla_Ocurrencia Insideo'!G82</f>
        <v>21.098785046728899</v>
      </c>
      <c r="H85" s="18">
        <f>'Tabla_Ocurrencia Insideo'!I82</f>
        <v>5.3469789568893577E-4</v>
      </c>
      <c r="I85" s="19">
        <f>'Tabla_Ocurrencia Insideo'!J82</f>
        <v>0.19516473192646155</v>
      </c>
    </row>
    <row r="86" spans="1:9" ht="15.6" x14ac:dyDescent="0.3">
      <c r="A86" s="16" t="str">
        <f>'Tabla_Ocurrencia Insideo'!C83</f>
        <v>WNW</v>
      </c>
      <c r="B86" s="17" t="str">
        <f>'Tabla_Ocurrencia Insideo'!D83</f>
        <v>281,25° – 303,75°</v>
      </c>
      <c r="C86" s="17" t="str">
        <f>'Tabla_Ocurrencia Insideo'!A83</f>
        <v>1.5 - 2.0</v>
      </c>
      <c r="D86" s="17" t="str">
        <f>'Tabla_Ocurrencia Insideo'!B83</f>
        <v>20.0 - 23.0</v>
      </c>
      <c r="E86" s="17">
        <f>'Tabla_Ocurrencia Insideo'!H83</f>
        <v>301.45999999999998</v>
      </c>
      <c r="F86" s="17">
        <f>'Tabla_Ocurrencia Insideo'!F83</f>
        <v>1.74255</v>
      </c>
      <c r="G86" s="17">
        <f>'Tabla_Ocurrencia Insideo'!G83</f>
        <v>21.203199999999999</v>
      </c>
      <c r="H86" s="18">
        <f>'Tabla_Ocurrencia Insideo'!I83</f>
        <v>4.9971765952236988E-4</v>
      </c>
      <c r="I86" s="19">
        <f>'Tabla_Ocurrencia Insideo'!J83</f>
        <v>0.18239694572566501</v>
      </c>
    </row>
    <row r="87" spans="1:9" ht="15.6" x14ac:dyDescent="0.3">
      <c r="A87" s="16" t="str">
        <f>'Tabla_Ocurrencia Insideo'!C84</f>
        <v>NW</v>
      </c>
      <c r="B87" s="17" t="str">
        <f>'Tabla_Ocurrencia Insideo'!D84</f>
        <v>303,75° – 326,25°</v>
      </c>
      <c r="C87" s="17" t="str">
        <f>'Tabla_Ocurrencia Insideo'!A84</f>
        <v>1.0 - 1.5</v>
      </c>
      <c r="D87" s="17" t="str">
        <f>'Tabla_Ocurrencia Insideo'!B84</f>
        <v>17.0 - 20.0</v>
      </c>
      <c r="E87" s="17">
        <f>'Tabla_Ocurrencia Insideo'!H84</f>
        <v>304.369791666666</v>
      </c>
      <c r="F87" s="17">
        <f>'Tabla_Ocurrencia Insideo'!F84</f>
        <v>1.413125</v>
      </c>
      <c r="G87" s="17">
        <f>'Tabla_Ocurrencia Insideo'!G84</f>
        <v>18.30515625</v>
      </c>
      <c r="H87" s="18">
        <f>'Tabla_Ocurrencia Insideo'!I84</f>
        <v>4.7972895314147505E-4</v>
      </c>
      <c r="I87" s="19">
        <f>'Tabla_Ocurrencia Insideo'!J84</f>
        <v>0.1751010678966384</v>
      </c>
    </row>
    <row r="88" spans="1:9" ht="15.6" x14ac:dyDescent="0.3">
      <c r="A88" s="16" t="str">
        <f>'Tabla_Ocurrencia Insideo'!C85</f>
        <v>SSW</v>
      </c>
      <c r="B88" s="17" t="str">
        <f>'Tabla_Ocurrencia Insideo'!D85</f>
        <v>191,25° – 213,75°</v>
      </c>
      <c r="C88" s="17" t="str">
        <f>'Tabla_Ocurrencia Insideo'!A85</f>
        <v>2.5 - 3.0</v>
      </c>
      <c r="D88" s="17" t="str">
        <f>'Tabla_Ocurrencia Insideo'!B85</f>
        <v>20.0 - 23.0</v>
      </c>
      <c r="E88" s="17">
        <f>'Tabla_Ocurrencia Insideo'!H85</f>
        <v>206.28804347825999</v>
      </c>
      <c r="F88" s="17">
        <f>'Tabla_Ocurrencia Insideo'!F85</f>
        <v>2.7444565217391301</v>
      </c>
      <c r="G88" s="17">
        <f>'Tabla_Ocurrencia Insideo'!G85</f>
        <v>20.8393478260869</v>
      </c>
      <c r="H88" s="18">
        <f>'Tabla_Ocurrencia Insideo'!I85</f>
        <v>4.5974024676058027E-4</v>
      </c>
      <c r="I88" s="19">
        <f>'Tabla_Ocurrencia Insideo'!J85</f>
        <v>0.1678051900676118</v>
      </c>
    </row>
    <row r="89" spans="1:9" ht="15.6" x14ac:dyDescent="0.3">
      <c r="A89" s="16" t="str">
        <f>'Tabla_Ocurrencia Insideo'!C86</f>
        <v>S</v>
      </c>
      <c r="B89" s="17" t="str">
        <f>'Tabla_Ocurrencia Insideo'!D86</f>
        <v>168,75° – 191,25°</v>
      </c>
      <c r="C89" s="17" t="str">
        <f>'Tabla_Ocurrencia Insideo'!A86</f>
        <v>1.0 - 1.5</v>
      </c>
      <c r="D89" s="17" t="str">
        <f>'Tabla_Ocurrencia Insideo'!B86</f>
        <v>14.0 - 17.0</v>
      </c>
      <c r="E89" s="17">
        <f>'Tabla_Ocurrencia Insideo'!H86</f>
        <v>176.03409090909</v>
      </c>
      <c r="F89" s="17">
        <f>'Tabla_Ocurrencia Insideo'!F86</f>
        <v>1.25920454545454</v>
      </c>
      <c r="G89" s="17">
        <f>'Tabla_Ocurrencia Insideo'!G86</f>
        <v>15.066420454545399</v>
      </c>
      <c r="H89" s="18">
        <f>'Tabla_Ocurrencia Insideo'!I86</f>
        <v>4.397515403796855E-4</v>
      </c>
      <c r="I89" s="19">
        <f>'Tabla_Ocurrencia Insideo'!J86</f>
        <v>0.16050931223858519</v>
      </c>
    </row>
    <row r="90" spans="1:9" ht="15.6" x14ac:dyDescent="0.3">
      <c r="A90" s="16" t="str">
        <f>'Tabla_Ocurrencia Insideo'!C87</f>
        <v>S</v>
      </c>
      <c r="B90" s="17" t="str">
        <f>'Tabla_Ocurrencia Insideo'!D87</f>
        <v>168,75° – 191,25°</v>
      </c>
      <c r="C90" s="17" t="str">
        <f>'Tabla_Ocurrencia Insideo'!A87</f>
        <v>1.5 - 2.0</v>
      </c>
      <c r="D90" s="17" t="str">
        <f>'Tabla_Ocurrencia Insideo'!B87</f>
        <v>17.0 - 20.0</v>
      </c>
      <c r="E90" s="17">
        <f>'Tabla_Ocurrencia Insideo'!H87</f>
        <v>186.07514450867001</v>
      </c>
      <c r="F90" s="17">
        <f>'Tabla_Ocurrencia Insideo'!F87</f>
        <v>1.7679768786127099</v>
      </c>
      <c r="G90" s="17">
        <f>'Tabla_Ocurrencia Insideo'!G87</f>
        <v>18.010000000000002</v>
      </c>
      <c r="H90" s="18">
        <f>'Tabla_Ocurrencia Insideo'!I87</f>
        <v>4.3225577548684991E-4</v>
      </c>
      <c r="I90" s="19">
        <f>'Tabla_Ocurrencia Insideo'!J87</f>
        <v>0.15777335805270024</v>
      </c>
    </row>
    <row r="91" spans="1:9" ht="15.6" x14ac:dyDescent="0.3">
      <c r="A91" s="16" t="str">
        <f>'Tabla_Ocurrencia Insideo'!C88</f>
        <v>SSW</v>
      </c>
      <c r="B91" s="17" t="str">
        <f>'Tabla_Ocurrencia Insideo'!D88</f>
        <v>191,25° – 213,75°</v>
      </c>
      <c r="C91" s="17" t="str">
        <f>'Tabla_Ocurrencia Insideo'!A88</f>
        <v>3.5 - 4.0</v>
      </c>
      <c r="D91" s="17" t="str">
        <f>'Tabla_Ocurrencia Insideo'!B88</f>
        <v>11.0 - 14.0</v>
      </c>
      <c r="E91" s="17">
        <f>'Tabla_Ocurrencia Insideo'!H88</f>
        <v>201.524691358024</v>
      </c>
      <c r="F91" s="17">
        <f>'Tabla_Ocurrencia Insideo'!F88</f>
        <v>3.6640740740740698</v>
      </c>
      <c r="G91" s="17">
        <f>'Tabla_Ocurrencia Insideo'!G88</f>
        <v>13.351049382716001</v>
      </c>
      <c r="H91" s="18">
        <f>'Tabla_Ocurrencia Insideo'!I88</f>
        <v>4.047713042131196E-4</v>
      </c>
      <c r="I91" s="19">
        <f>'Tabla_Ocurrencia Insideo'!J88</f>
        <v>0.14774152603778865</v>
      </c>
    </row>
    <row r="92" spans="1:9" ht="15.6" x14ac:dyDescent="0.3">
      <c r="A92" s="16" t="str">
        <f>'Tabla_Ocurrencia Insideo'!C89</f>
        <v>S</v>
      </c>
      <c r="B92" s="17" t="str">
        <f>'Tabla_Ocurrencia Insideo'!D89</f>
        <v>168,75° – 191,25°</v>
      </c>
      <c r="C92" s="17" t="str">
        <f>'Tabla_Ocurrencia Insideo'!A89</f>
        <v>3.0 - 3.5</v>
      </c>
      <c r="D92" s="17" t="str">
        <f>'Tabla_Ocurrencia Insideo'!B89</f>
        <v>11.0 - 14.0</v>
      </c>
      <c r="E92" s="17">
        <f>'Tabla_Ocurrencia Insideo'!H89</f>
        <v>187.38124999999999</v>
      </c>
      <c r="F92" s="17">
        <f>'Tabla_Ocurrencia Insideo'!F89</f>
        <v>3.1856249999999999</v>
      </c>
      <c r="G92" s="17">
        <f>'Tabla_Ocurrencia Insideo'!G89</f>
        <v>12.070562499999999</v>
      </c>
      <c r="H92" s="18">
        <f>'Tabla_Ocurrencia Insideo'!I89</f>
        <v>3.9977412761789589E-4</v>
      </c>
      <c r="I92" s="19">
        <f>'Tabla_Ocurrencia Insideo'!J89</f>
        <v>0.14591755658053199</v>
      </c>
    </row>
    <row r="93" spans="1:9" ht="15.6" x14ac:dyDescent="0.3">
      <c r="A93" s="16" t="str">
        <f>'Tabla_Ocurrencia Insideo'!C90</f>
        <v>S</v>
      </c>
      <c r="B93" s="17" t="str">
        <f>'Tabla_Ocurrencia Insideo'!D90</f>
        <v>168,75° – 191,25°</v>
      </c>
      <c r="C93" s="17" t="str">
        <f>'Tabla_Ocurrencia Insideo'!A90</f>
        <v>2.5 - 3.0</v>
      </c>
      <c r="D93" s="17" t="str">
        <f>'Tabla_Ocurrencia Insideo'!B90</f>
        <v>17.0 - 20.0</v>
      </c>
      <c r="E93" s="17">
        <f>'Tabla_Ocurrencia Insideo'!H90</f>
        <v>189.92903225806401</v>
      </c>
      <c r="F93" s="17">
        <f>'Tabla_Ocurrencia Insideo'!F90</f>
        <v>2.74212903225806</v>
      </c>
      <c r="G93" s="17">
        <f>'Tabla_Ocurrencia Insideo'!G90</f>
        <v>17.990903225806399</v>
      </c>
      <c r="H93" s="18">
        <f>'Tabla_Ocurrencia Insideo'!I90</f>
        <v>3.8728118612983665E-4</v>
      </c>
      <c r="I93" s="19">
        <f>'Tabla_Ocurrencia Insideo'!J90</f>
        <v>0.14135763293739037</v>
      </c>
    </row>
    <row r="94" spans="1:9" ht="15.6" x14ac:dyDescent="0.3">
      <c r="A94" s="16" t="str">
        <f>'Tabla_Ocurrencia Insideo'!C91</f>
        <v>W</v>
      </c>
      <c r="B94" s="17" t="str">
        <f>'Tabla_Ocurrencia Insideo'!D91</f>
        <v>258,75° – 281,25°</v>
      </c>
      <c r="C94" s="17" t="str">
        <f>'Tabla_Ocurrencia Insideo'!A91</f>
        <v>1.0 - 1.5</v>
      </c>
      <c r="D94" s="17" t="str">
        <f>'Tabla_Ocurrencia Insideo'!B91</f>
        <v>11.0 - 14.0</v>
      </c>
      <c r="E94" s="17">
        <f>'Tabla_Ocurrencia Insideo'!H91</f>
        <v>268.08510638297798</v>
      </c>
      <c r="F94" s="17">
        <f>'Tabla_Ocurrencia Insideo'!F91</f>
        <v>1.3127659574468</v>
      </c>
      <c r="G94" s="17">
        <f>'Tabla_Ocurrencia Insideo'!G91</f>
        <v>13.2278014184397</v>
      </c>
      <c r="H94" s="18">
        <f>'Tabla_Ocurrencia Insideo'!I91</f>
        <v>3.5230094996327075E-4</v>
      </c>
      <c r="I94" s="19">
        <f>'Tabla_Ocurrencia Insideo'!J91</f>
        <v>0.12858984673659382</v>
      </c>
    </row>
    <row r="95" spans="1:9" ht="15.6" x14ac:dyDescent="0.3">
      <c r="A95" s="16" t="str">
        <f>'Tabla_Ocurrencia Insideo'!C92</f>
        <v>SSW</v>
      </c>
      <c r="B95" s="17" t="str">
        <f>'Tabla_Ocurrencia Insideo'!D92</f>
        <v>191,25° – 213,75°</v>
      </c>
      <c r="C95" s="17" t="str">
        <f>'Tabla_Ocurrencia Insideo'!A92</f>
        <v>3.0 - 3.5</v>
      </c>
      <c r="D95" s="17" t="str">
        <f>'Tabla_Ocurrencia Insideo'!B92</f>
        <v>20.0 - 23.0</v>
      </c>
      <c r="E95" s="17">
        <f>'Tabla_Ocurrencia Insideo'!H92</f>
        <v>205.7304964539</v>
      </c>
      <c r="F95" s="17">
        <f>'Tabla_Ocurrencia Insideo'!F92</f>
        <v>3.18156028368794</v>
      </c>
      <c r="G95" s="17">
        <f>'Tabla_Ocurrencia Insideo'!G92</f>
        <v>20.8190070921985</v>
      </c>
      <c r="H95" s="18">
        <f>'Tabla_Ocurrencia Insideo'!I92</f>
        <v>3.5230094996327075E-4</v>
      </c>
      <c r="I95" s="19">
        <f>'Tabla_Ocurrencia Insideo'!J92</f>
        <v>0.12858984673659382</v>
      </c>
    </row>
    <row r="96" spans="1:9" ht="15.6" x14ac:dyDescent="0.3">
      <c r="A96" s="16" t="str">
        <f>'Tabla_Ocurrencia Insideo'!C93</f>
        <v>S</v>
      </c>
      <c r="B96" s="17" t="str">
        <f>'Tabla_Ocurrencia Insideo'!D93</f>
        <v>168,75° – 191,25°</v>
      </c>
      <c r="C96" s="17" t="str">
        <f>'Tabla_Ocurrencia Insideo'!A93</f>
        <v>2.0 - 2.5</v>
      </c>
      <c r="D96" s="17" t="str">
        <f>'Tabla_Ocurrencia Insideo'!B93</f>
        <v>17.0 - 20.0</v>
      </c>
      <c r="E96" s="17">
        <f>'Tabla_Ocurrencia Insideo'!H93</f>
        <v>188.78787878787799</v>
      </c>
      <c r="F96" s="17">
        <f>'Tabla_Ocurrencia Insideo'!F93</f>
        <v>2.2710606060605998</v>
      </c>
      <c r="G96" s="17">
        <f>'Tabla_Ocurrencia Insideo'!G93</f>
        <v>18.035</v>
      </c>
      <c r="H96" s="18">
        <f>'Tabla_Ocurrencia Insideo'!I93</f>
        <v>3.2981365528476409E-4</v>
      </c>
      <c r="I96" s="19">
        <f>'Tabla_Ocurrencia Insideo'!J93</f>
        <v>0.1203819841789389</v>
      </c>
    </row>
    <row r="97" spans="1:10" ht="15.6" x14ac:dyDescent="0.3">
      <c r="A97" s="16" t="str">
        <f>'Tabla_Ocurrencia Insideo'!C94</f>
        <v>NW</v>
      </c>
      <c r="B97" s="17" t="str">
        <f>'Tabla_Ocurrencia Insideo'!D94</f>
        <v>303,75° – 326,25°</v>
      </c>
      <c r="C97" s="17" t="str">
        <f>'Tabla_Ocurrencia Insideo'!A94</f>
        <v>2.0 - 2.5</v>
      </c>
      <c r="D97" s="17" t="str">
        <f>'Tabla_Ocurrencia Insideo'!B94</f>
        <v>20.0 - 23.0</v>
      </c>
      <c r="E97" s="17">
        <f>'Tabla_Ocurrencia Insideo'!H94</f>
        <v>304.053846153846</v>
      </c>
      <c r="F97" s="17">
        <f>'Tabla_Ocurrencia Insideo'!F94</f>
        <v>2.1093846153846099</v>
      </c>
      <c r="G97" s="17">
        <f>'Tabla_Ocurrencia Insideo'!G94</f>
        <v>21.236230769230701</v>
      </c>
      <c r="H97" s="18">
        <f>'Tabla_Ocurrencia Insideo'!I94</f>
        <v>3.2481647868954039E-4</v>
      </c>
      <c r="I97" s="19">
        <f>'Tabla_Ocurrencia Insideo'!J94</f>
        <v>0.11855801472168224</v>
      </c>
    </row>
    <row r="98" spans="1:10" ht="15.6" x14ac:dyDescent="0.3">
      <c r="A98" s="16" t="str">
        <f>'Tabla_Ocurrencia Insideo'!C95</f>
        <v>SW</v>
      </c>
      <c r="B98" s="17" t="str">
        <f>'Tabla_Ocurrencia Insideo'!D95</f>
        <v>213,75° – 236,25°</v>
      </c>
      <c r="C98" s="17" t="str">
        <f>'Tabla_Ocurrencia Insideo'!A95</f>
        <v>3.0 - 3.5</v>
      </c>
      <c r="D98" s="17" t="str">
        <f>'Tabla_Ocurrencia Insideo'!B95</f>
        <v>11.0 - 14.0</v>
      </c>
      <c r="E98" s="17">
        <f>'Tabla_Ocurrencia Insideo'!H95</f>
        <v>217.230769230769</v>
      </c>
      <c r="F98" s="17">
        <f>'Tabla_Ocurrencia Insideo'!F95</f>
        <v>3.16307692307692</v>
      </c>
      <c r="G98" s="17">
        <f>'Tabla_Ocurrencia Insideo'!G95</f>
        <v>13.352692307692299</v>
      </c>
      <c r="H98" s="18">
        <f>'Tabla_Ocurrencia Insideo'!I95</f>
        <v>3.2481647868954039E-4</v>
      </c>
      <c r="I98" s="19">
        <f>'Tabla_Ocurrencia Insideo'!J95</f>
        <v>0.11855801472168224</v>
      </c>
    </row>
    <row r="99" spans="1:10" ht="15.6" x14ac:dyDescent="0.3">
      <c r="A99" s="16" t="str">
        <f>'Tabla_Ocurrencia Insideo'!C96</f>
        <v>SSW</v>
      </c>
      <c r="B99" s="17" t="str">
        <f>'Tabla_Ocurrencia Insideo'!D96</f>
        <v>191,25° – 213,75°</v>
      </c>
      <c r="C99" s="17" t="str">
        <f>'Tabla_Ocurrencia Insideo'!A96</f>
        <v>2.5 - 3.0</v>
      </c>
      <c r="D99" s="17" t="str">
        <f>'Tabla_Ocurrencia Insideo'!B96</f>
        <v>8.0 - 11.0</v>
      </c>
      <c r="E99" s="17">
        <f>'Tabla_Ocurrencia Insideo'!H96</f>
        <v>194.9609375</v>
      </c>
      <c r="F99" s="17">
        <f>'Tabla_Ocurrencia Insideo'!F96</f>
        <v>2.6889062500000001</v>
      </c>
      <c r="G99" s="17">
        <f>'Tabla_Ocurrencia Insideo'!G96</f>
        <v>10.32625</v>
      </c>
      <c r="H99" s="18">
        <f>'Tabla_Ocurrencia Insideo'!I96</f>
        <v>3.1981930209431673E-4</v>
      </c>
      <c r="I99" s="19">
        <f>'Tabla_Ocurrencia Insideo'!J96</f>
        <v>0.1167340452644256</v>
      </c>
    </row>
    <row r="100" spans="1:10" ht="15.6" x14ac:dyDescent="0.3">
      <c r="A100" s="16" t="str">
        <f>'Tabla_Ocurrencia Insideo'!C97</f>
        <v>WNW</v>
      </c>
      <c r="B100" s="17" t="str">
        <f>'Tabla_Ocurrencia Insideo'!D97</f>
        <v>281,25° – 303,75°</v>
      </c>
      <c r="C100" s="17" t="str">
        <f>'Tabla_Ocurrencia Insideo'!A97</f>
        <v>2.0 - 2.5</v>
      </c>
      <c r="D100" s="17" t="str">
        <f>'Tabla_Ocurrencia Insideo'!B97</f>
        <v>20.0 - 23.0</v>
      </c>
      <c r="E100" s="17">
        <f>'Tabla_Ocurrencia Insideo'!H97</f>
        <v>300.16935483870901</v>
      </c>
      <c r="F100" s="17">
        <f>'Tabla_Ocurrencia Insideo'!F97</f>
        <v>2.1354032258064501</v>
      </c>
      <c r="G100" s="17">
        <f>'Tabla_Ocurrencia Insideo'!G97</f>
        <v>21.194193548386998</v>
      </c>
      <c r="H100" s="18">
        <f>'Tabla_Ocurrencia Insideo'!I97</f>
        <v>3.0982494890386932E-4</v>
      </c>
      <c r="I100" s="19">
        <f>'Tabla_Ocurrencia Insideo'!J97</f>
        <v>0.1130861063499123</v>
      </c>
    </row>
    <row r="101" spans="1:10" ht="15.6" x14ac:dyDescent="0.3">
      <c r="A101" s="16" t="str">
        <f>'Tabla_Ocurrencia Insideo'!C98</f>
        <v>WSW</v>
      </c>
      <c r="B101" s="17" t="str">
        <f>'Tabla_Ocurrencia Insideo'!D98</f>
        <v>236,25° – 258,75°</v>
      </c>
      <c r="C101" s="17" t="str">
        <f>'Tabla_Ocurrencia Insideo'!A98</f>
        <v>2.5 - 3.0</v>
      </c>
      <c r="D101" s="17" t="str">
        <f>'Tabla_Ocurrencia Insideo'!B98</f>
        <v>17.0 - 20.0</v>
      </c>
      <c r="E101" s="17">
        <f>'Tabla_Ocurrencia Insideo'!H98</f>
        <v>245.34146341463401</v>
      </c>
      <c r="F101" s="17">
        <f>'Tabla_Ocurrencia Insideo'!F98</f>
        <v>2.67552845528455</v>
      </c>
      <c r="G101" s="17">
        <f>'Tabla_Ocurrencia Insideo'!G98</f>
        <v>17.7973983739837</v>
      </c>
      <c r="H101" s="18">
        <f>'Tabla_Ocurrencia Insideo'!I98</f>
        <v>3.0732636060625744E-4</v>
      </c>
      <c r="I101" s="19">
        <f>'Tabla_Ocurrencia Insideo'!J98</f>
        <v>0.11217412162128397</v>
      </c>
    </row>
    <row r="102" spans="1:10" ht="15.6" x14ac:dyDescent="0.3">
      <c r="A102" s="16" t="str">
        <f>'Tabla_Ocurrencia Insideo'!C99</f>
        <v>WSW</v>
      </c>
      <c r="B102" s="17" t="str">
        <f>'Tabla_Ocurrencia Insideo'!D99</f>
        <v>236,25° – 258,75°</v>
      </c>
      <c r="C102" s="17" t="str">
        <f>'Tabla_Ocurrencia Insideo'!A99</f>
        <v>2.0 - 2.5</v>
      </c>
      <c r="D102" s="17" t="str">
        <f>'Tabla_Ocurrencia Insideo'!B99</f>
        <v>11.0 - 14.0</v>
      </c>
      <c r="E102" s="17">
        <f>'Tabla_Ocurrencia Insideo'!H99</f>
        <v>239.905172413793</v>
      </c>
      <c r="F102" s="17">
        <f>'Tabla_Ocurrencia Insideo'!F99</f>
        <v>2.1225862068965502</v>
      </c>
      <c r="G102" s="17">
        <f>'Tabla_Ocurrencia Insideo'!G99</f>
        <v>13.4322413793103</v>
      </c>
      <c r="H102" s="18">
        <f>'Tabla_Ocurrencia Insideo'!I99</f>
        <v>2.8983624252297454E-4</v>
      </c>
      <c r="I102" s="19">
        <f>'Tabla_Ocurrencia Insideo'!J99</f>
        <v>0.1057902285208857</v>
      </c>
    </row>
    <row r="103" spans="1:10" ht="15.6" x14ac:dyDescent="0.3">
      <c r="A103" s="16" t="str">
        <f>'Tabla_Ocurrencia Insideo'!C100</f>
        <v>NW</v>
      </c>
      <c r="B103" s="17" t="str">
        <f>'Tabla_Ocurrencia Insideo'!D100</f>
        <v>303,75° – 326,25°</v>
      </c>
      <c r="C103" s="17" t="str">
        <f>'Tabla_Ocurrencia Insideo'!A100</f>
        <v>1.0 - 1.5</v>
      </c>
      <c r="D103" s="17" t="str">
        <f>'Tabla_Ocurrencia Insideo'!B100</f>
        <v>14.0 - 17.0</v>
      </c>
      <c r="E103" s="17">
        <f>'Tabla_Ocurrencia Insideo'!H100</f>
        <v>304.10989010988999</v>
      </c>
      <c r="F103" s="17">
        <f>'Tabla_Ocurrencia Insideo'!F100</f>
        <v>1.39956043956043</v>
      </c>
      <c r="G103" s="17">
        <f>'Tabla_Ocurrencia Insideo'!G100</f>
        <v>16.013516483516401</v>
      </c>
      <c r="H103" s="18">
        <f>'Tabla_Ocurrencia Insideo'!I100</f>
        <v>2.2737153508267828E-4</v>
      </c>
      <c r="I103" s="19">
        <f>'Tabla_Ocurrencia Insideo'!J100</f>
        <v>8.299061030517757E-2</v>
      </c>
    </row>
    <row r="104" spans="1:10" ht="15.6" x14ac:dyDescent="0.3">
      <c r="A104" s="16" t="str">
        <f>'Tabla_Ocurrencia Insideo'!C101</f>
        <v>WSW</v>
      </c>
      <c r="B104" s="17" t="str">
        <f>'Tabla_Ocurrencia Insideo'!D101</f>
        <v>236,25° – 258,75°</v>
      </c>
      <c r="C104" s="17" t="str">
        <f>'Tabla_Ocurrencia Insideo'!A101</f>
        <v>2.5 - 3.0</v>
      </c>
      <c r="D104" s="17" t="str">
        <f>'Tabla_Ocurrencia Insideo'!B101</f>
        <v>14.0 - 17.0</v>
      </c>
      <c r="E104" s="17">
        <f>'Tabla_Ocurrencia Insideo'!H101</f>
        <v>242.49450549450501</v>
      </c>
      <c r="F104" s="17">
        <f>'Tabla_Ocurrencia Insideo'!F101</f>
        <v>2.64164835164835</v>
      </c>
      <c r="G104" s="17">
        <f>'Tabla_Ocurrencia Insideo'!G101</f>
        <v>15.970329670329599</v>
      </c>
      <c r="H104" s="18">
        <f>'Tabla_Ocurrencia Insideo'!I101</f>
        <v>2.2737153508267828E-4</v>
      </c>
      <c r="I104" s="19">
        <f>'Tabla_Ocurrencia Insideo'!J101</f>
        <v>8.299061030517757E-2</v>
      </c>
    </row>
    <row r="105" spans="1:10" ht="15.6" x14ac:dyDescent="0.3">
      <c r="A105" s="16" t="str">
        <f>'Tabla_Ocurrencia Insideo'!C102</f>
        <v>SSW</v>
      </c>
      <c r="B105" s="17" t="str">
        <f>'Tabla_Ocurrencia Insideo'!D102</f>
        <v>191,25° – 213,75°</v>
      </c>
      <c r="C105" s="17" t="str">
        <f>'Tabla_Ocurrencia Insideo'!A102</f>
        <v>1.0 - 1.5</v>
      </c>
      <c r="D105" s="17" t="str">
        <f>'Tabla_Ocurrencia Insideo'!B102</f>
        <v>17.0 - 20.0</v>
      </c>
      <c r="E105" s="17">
        <f>'Tabla_Ocurrencia Insideo'!H102</f>
        <v>206.47191011235901</v>
      </c>
      <c r="F105" s="17">
        <f>'Tabla_Ocurrencia Insideo'!F102</f>
        <v>1.40325842696629</v>
      </c>
      <c r="G105" s="17">
        <f>'Tabla_Ocurrencia Insideo'!G102</f>
        <v>17.889887640449398</v>
      </c>
      <c r="H105" s="18">
        <f>'Tabla_Ocurrencia Insideo'!I102</f>
        <v>2.223743584874546E-4</v>
      </c>
      <c r="I105" s="19">
        <f>'Tabla_Ocurrencia Insideo'!J102</f>
        <v>8.1166640847920926E-2</v>
      </c>
    </row>
    <row r="106" spans="1:10" ht="15.6" x14ac:dyDescent="0.3">
      <c r="A106" s="16" t="str">
        <f>'Tabla_Ocurrencia Insideo'!C103</f>
        <v>S</v>
      </c>
      <c r="B106" s="17" t="str">
        <f>'Tabla_Ocurrencia Insideo'!D103</f>
        <v>168,75° – 191,25°</v>
      </c>
      <c r="C106" s="17" t="str">
        <f>'Tabla_Ocurrencia Insideo'!A103</f>
        <v>0.5 - 1.0</v>
      </c>
      <c r="D106" s="17" t="str">
        <f>'Tabla_Ocurrencia Insideo'!B103</f>
        <v>14.0 - 17.0</v>
      </c>
      <c r="E106" s="17">
        <f>'Tabla_Ocurrencia Insideo'!H103</f>
        <v>173.71604938271599</v>
      </c>
      <c r="F106" s="17">
        <f>'Tabla_Ocurrencia Insideo'!F103</f>
        <v>0.73469135802469099</v>
      </c>
      <c r="G106" s="17">
        <f>'Tabla_Ocurrencia Insideo'!G103</f>
        <v>14.8695061728395</v>
      </c>
      <c r="H106" s="18">
        <f>'Tabla_Ocurrencia Insideo'!I103</f>
        <v>2.023856521065598E-4</v>
      </c>
      <c r="I106" s="19">
        <f>'Tabla_Ocurrencia Insideo'!J103</f>
        <v>7.3870763018894323E-2</v>
      </c>
    </row>
    <row r="107" spans="1:10" ht="15.6" x14ac:dyDescent="0.3">
      <c r="A107" s="16" t="str">
        <f>'Tabla_Ocurrencia Insideo'!C104</f>
        <v>WNW</v>
      </c>
      <c r="B107" s="17" t="str">
        <f>'Tabla_Ocurrencia Insideo'!D104</f>
        <v>281,25° – 303,75°</v>
      </c>
      <c r="C107" s="17" t="str">
        <f>'Tabla_Ocurrencia Insideo'!A104</f>
        <v>1.0 - 1.5</v>
      </c>
      <c r="D107" s="17" t="str">
        <f>'Tabla_Ocurrencia Insideo'!B104</f>
        <v>11.0 - 14.0</v>
      </c>
      <c r="E107" s="17">
        <f>'Tabla_Ocurrencia Insideo'!H104</f>
        <v>289.15277777777698</v>
      </c>
      <c r="F107" s="17">
        <f>'Tabla_Ocurrencia Insideo'!F104</f>
        <v>1.29986111111111</v>
      </c>
      <c r="G107" s="17">
        <f>'Tabla_Ocurrencia Insideo'!G104</f>
        <v>13.3119444444444</v>
      </c>
      <c r="H107" s="18">
        <f>'Tabla_Ocurrencia Insideo'!I104</f>
        <v>1.7989835742805314E-4</v>
      </c>
      <c r="I107" s="19">
        <f>'Tabla_Ocurrencia Insideo'!J104</f>
        <v>6.5662900461239404E-2</v>
      </c>
    </row>
    <row r="108" spans="1:10" ht="15.6" x14ac:dyDescent="0.3">
      <c r="A108" s="16" t="str">
        <f>'Tabla_Ocurrencia Insideo'!C105</f>
        <v>W</v>
      </c>
      <c r="B108" s="17" t="str">
        <f>'Tabla_Ocurrencia Insideo'!D105</f>
        <v>258,75° – 281,25°</v>
      </c>
      <c r="C108" s="17" t="str">
        <f>'Tabla_Ocurrencia Insideo'!A105</f>
        <v>1.5 - 2.0</v>
      </c>
      <c r="D108" s="17" t="str">
        <f>'Tabla_Ocurrencia Insideo'!B105</f>
        <v>11.0 - 14.0</v>
      </c>
      <c r="E108" s="17">
        <f>'Tabla_Ocurrencia Insideo'!H105</f>
        <v>267.211267605633</v>
      </c>
      <c r="F108" s="17">
        <f>'Tabla_Ocurrencia Insideo'!F105</f>
        <v>1.73830985915492</v>
      </c>
      <c r="G108" s="17">
        <f>'Tabla_Ocurrencia Insideo'!G105</f>
        <v>13.5249295774647</v>
      </c>
      <c r="H108" s="18">
        <f>'Tabla_Ocurrencia Insideo'!I105</f>
        <v>1.7739976913044129E-4</v>
      </c>
      <c r="I108" s="19">
        <f>'Tabla_Ocurrencia Insideo'!J105</f>
        <v>6.4750915732611075E-2</v>
      </c>
    </row>
    <row r="109" spans="1:10" ht="15.6" x14ac:dyDescent="0.3">
      <c r="A109" s="16" t="str">
        <f>'Tabla_Ocurrencia Insideo'!C106</f>
        <v>S</v>
      </c>
      <c r="B109" s="17" t="str">
        <f>'Tabla_Ocurrencia Insideo'!D106</f>
        <v>168,75° – 191,25°</v>
      </c>
      <c r="C109" s="17" t="str">
        <f>'Tabla_Ocurrencia Insideo'!A106</f>
        <v>3.0 - 3.5</v>
      </c>
      <c r="D109" s="17" t="str">
        <f>'Tabla_Ocurrencia Insideo'!B106</f>
        <v>14.0 - 17.0</v>
      </c>
      <c r="E109" s="17">
        <f>'Tabla_Ocurrencia Insideo'!H106</f>
        <v>188.92857142857099</v>
      </c>
      <c r="F109" s="17">
        <f>'Tabla_Ocurrencia Insideo'!F106</f>
        <v>3.2188571428571402</v>
      </c>
      <c r="G109" s="17">
        <f>'Tabla_Ocurrencia Insideo'!G106</f>
        <v>15.296999999999899</v>
      </c>
      <c r="H109" s="18">
        <f>'Tabla_Ocurrencia Insideo'!I106</f>
        <v>1.7490118083282946E-4</v>
      </c>
      <c r="I109" s="19">
        <f>'Tabla_Ocurrencia Insideo'!J106</f>
        <v>6.3838931003982746E-2</v>
      </c>
    </row>
    <row r="110" spans="1:10" ht="15.6" x14ac:dyDescent="0.3">
      <c r="A110" s="16" t="str">
        <f>'Tabla_Ocurrencia Insideo'!C107</f>
        <v>S</v>
      </c>
      <c r="B110" s="17" t="str">
        <f>'Tabla_Ocurrencia Insideo'!D107</f>
        <v>168,75° – 191,25°</v>
      </c>
      <c r="C110" s="17" t="str">
        <f>'Tabla_Ocurrencia Insideo'!A107</f>
        <v>0.5 - 1.0</v>
      </c>
      <c r="D110" s="17" t="str">
        <f>'Tabla_Ocurrencia Insideo'!B107</f>
        <v>8.0 - 11.0</v>
      </c>
      <c r="E110" s="17">
        <f>'Tabla_Ocurrencia Insideo'!H107</f>
        <v>173.78260869565199</v>
      </c>
      <c r="F110" s="17">
        <f>'Tabla_Ocurrencia Insideo'!F107</f>
        <v>0.88260869565217304</v>
      </c>
      <c r="G110" s="17">
        <f>'Tabla_Ocurrencia Insideo'!G107</f>
        <v>8.4540579710144907</v>
      </c>
      <c r="H110" s="18">
        <f>'Tabla_Ocurrencia Insideo'!I107</f>
        <v>1.7240259253521761E-4</v>
      </c>
      <c r="I110" s="19">
        <f>'Tabla_Ocurrencia Insideo'!J107</f>
        <v>6.2926946275354431E-2</v>
      </c>
    </row>
    <row r="111" spans="1:10" ht="15.6" x14ac:dyDescent="0.3">
      <c r="A111" s="16" t="str">
        <f>'Tabla_Ocurrencia Insideo'!C108</f>
        <v>WSW</v>
      </c>
      <c r="B111" s="17" t="str">
        <f>'Tabla_Ocurrencia Insideo'!D108</f>
        <v>236,25° – 258,75°</v>
      </c>
      <c r="C111" s="17" t="str">
        <f>'Tabla_Ocurrencia Insideo'!A108</f>
        <v>1.0 - 1.5</v>
      </c>
      <c r="D111" s="17" t="str">
        <f>'Tabla_Ocurrencia Insideo'!B108</f>
        <v>17.0 - 20.0</v>
      </c>
      <c r="E111" s="17">
        <f>'Tabla_Ocurrencia Insideo'!H108</f>
        <v>242.608695652173</v>
      </c>
      <c r="F111" s="17">
        <f>'Tabla_Ocurrencia Insideo'!F108</f>
        <v>1.39971014492753</v>
      </c>
      <c r="G111" s="17">
        <f>'Tabla_Ocurrencia Insideo'!G108</f>
        <v>18.047101449275299</v>
      </c>
      <c r="H111" s="18">
        <f>'Tabla_Ocurrencia Insideo'!I108</f>
        <v>1.7240259253521761E-4</v>
      </c>
      <c r="I111" s="19">
        <f>'Tabla_Ocurrencia Insideo'!J108</f>
        <v>6.2926946275354431E-2</v>
      </c>
    </row>
    <row r="112" spans="1:10" ht="15.6" x14ac:dyDescent="0.3">
      <c r="A112" s="57" t="str">
        <f>'Tabla_Ocurrencia Insideo'!C109</f>
        <v>WNW</v>
      </c>
      <c r="B112" s="55" t="str">
        <f>'Tabla_Ocurrencia Insideo'!D109</f>
        <v>281,25° – 303,75°</v>
      </c>
      <c r="C112" s="55" t="str">
        <f>'Tabla_Ocurrencia Insideo'!A109</f>
        <v>2.5 - 3.0</v>
      </c>
      <c r="D112" s="55" t="str">
        <f>'Tabla_Ocurrencia Insideo'!B109</f>
        <v>17.0 - 20.0</v>
      </c>
      <c r="E112" s="55">
        <f>'Tabla_Ocurrencia Insideo'!H109</f>
        <v>296.58208955223802</v>
      </c>
      <c r="F112" s="55">
        <f>'Tabla_Ocurrencia Insideo'!F109</f>
        <v>2.67626865671641</v>
      </c>
      <c r="G112" s="55">
        <f>'Tabla_Ocurrencia Insideo'!G109</f>
        <v>18.712238805970099</v>
      </c>
      <c r="H112" s="54">
        <f>'Tabla_Ocurrencia Insideo'!I109</f>
        <v>1.674054159399939E-4</v>
      </c>
      <c r="I112" s="55">
        <f>'Tabla_Ocurrencia Insideo'!J109</f>
        <v>6.1102976818097773E-2</v>
      </c>
      <c r="J112" s="56" t="s">
        <v>152</v>
      </c>
    </row>
    <row r="113" spans="1:9" ht="15.6" x14ac:dyDescent="0.3">
      <c r="A113" s="16" t="str">
        <f>'Tabla_Ocurrencia Insideo'!C110</f>
        <v>SSW</v>
      </c>
      <c r="B113" s="17" t="str">
        <f>'Tabla_Ocurrencia Insideo'!D110</f>
        <v>191,25° – 213,75°</v>
      </c>
      <c r="C113" s="17" t="str">
        <f>'Tabla_Ocurrencia Insideo'!A110</f>
        <v>4.5 - 5.0</v>
      </c>
      <c r="D113" s="17" t="str">
        <f>'Tabla_Ocurrencia Insideo'!B110</f>
        <v>17.0 - 20.0</v>
      </c>
      <c r="E113" s="17">
        <f>'Tabla_Ocurrencia Insideo'!H110</f>
        <v>206.98507462686501</v>
      </c>
      <c r="F113" s="17">
        <f>'Tabla_Ocurrencia Insideo'!F110</f>
        <v>4.62194029850746</v>
      </c>
      <c r="G113" s="17">
        <f>'Tabla_Ocurrencia Insideo'!G110</f>
        <v>17.769850746268599</v>
      </c>
      <c r="H113" s="18">
        <f>'Tabla_Ocurrencia Insideo'!I110</f>
        <v>1.674054159399939E-4</v>
      </c>
      <c r="I113" s="19">
        <f>'Tabla_Ocurrencia Insideo'!J110</f>
        <v>6.1102976818097773E-2</v>
      </c>
    </row>
    <row r="114" spans="1:9" ht="15.6" x14ac:dyDescent="0.3">
      <c r="A114" s="16" t="str">
        <f>'Tabla_Ocurrencia Insideo'!C111</f>
        <v>SW</v>
      </c>
      <c r="B114" s="17" t="str">
        <f>'Tabla_Ocurrencia Insideo'!D111</f>
        <v>213,75° – 236,25°</v>
      </c>
      <c r="C114" s="17" t="str">
        <f>'Tabla_Ocurrencia Insideo'!A111</f>
        <v>4.0 - 4.5</v>
      </c>
      <c r="D114" s="17" t="str">
        <f>'Tabla_Ocurrencia Insideo'!B111</f>
        <v>17.0 - 20.0</v>
      </c>
      <c r="E114" s="17">
        <f>'Tabla_Ocurrencia Insideo'!H111</f>
        <v>216.166666666666</v>
      </c>
      <c r="F114" s="17">
        <f>'Tabla_Ocurrencia Insideo'!F111</f>
        <v>4.1860606060606003</v>
      </c>
      <c r="G114" s="17">
        <f>'Tabla_Ocurrencia Insideo'!G111</f>
        <v>18.646060606060601</v>
      </c>
      <c r="H114" s="18">
        <f>'Tabla_Ocurrencia Insideo'!I111</f>
        <v>1.6490682764238205E-4</v>
      </c>
      <c r="I114" s="19">
        <f>'Tabla_Ocurrencia Insideo'!J111</f>
        <v>6.0190992089469451E-2</v>
      </c>
    </row>
    <row r="115" spans="1:9" ht="15.6" x14ac:dyDescent="0.3">
      <c r="A115" s="16" t="str">
        <f>'Tabla_Ocurrencia Insideo'!C112</f>
        <v>S</v>
      </c>
      <c r="B115" s="17" t="str">
        <f>'Tabla_Ocurrencia Insideo'!D112</f>
        <v>168,75° – 191,25°</v>
      </c>
      <c r="C115" s="17" t="str">
        <f>'Tabla_Ocurrencia Insideo'!A112</f>
        <v>4.0 - 4.5</v>
      </c>
      <c r="D115" s="17" t="str">
        <f>'Tabla_Ocurrencia Insideo'!B112</f>
        <v>8.0 - 11.0</v>
      </c>
      <c r="E115" s="17">
        <f>'Tabla_Ocurrencia Insideo'!H112</f>
        <v>179.890625</v>
      </c>
      <c r="F115" s="17">
        <f>'Tabla_Ocurrencia Insideo'!F112</f>
        <v>4.1490625000000003</v>
      </c>
      <c r="G115" s="17">
        <f>'Tabla_Ocurrencia Insideo'!G112</f>
        <v>9.7995312499999994</v>
      </c>
      <c r="H115" s="18">
        <f>'Tabla_Ocurrencia Insideo'!I112</f>
        <v>1.5990965104715837E-4</v>
      </c>
      <c r="I115" s="19">
        <f>'Tabla_Ocurrencia Insideo'!J112</f>
        <v>5.8367022632212801E-2</v>
      </c>
    </row>
    <row r="116" spans="1:9" ht="15.6" x14ac:dyDescent="0.3">
      <c r="A116" s="16" t="str">
        <f>'Tabla_Ocurrencia Insideo'!C113</f>
        <v>SW</v>
      </c>
      <c r="B116" s="17" t="str">
        <f>'Tabla_Ocurrencia Insideo'!D113</f>
        <v>213,75° – 236,25°</v>
      </c>
      <c r="C116" s="17" t="str">
        <f>'Tabla_Ocurrencia Insideo'!A113</f>
        <v>3.0 - 3.5</v>
      </c>
      <c r="D116" s="17" t="str">
        <f>'Tabla_Ocurrencia Insideo'!B113</f>
        <v>20.0 - 23.0</v>
      </c>
      <c r="E116" s="17">
        <f>'Tabla_Ocurrencia Insideo'!H113</f>
        <v>217.896551724137</v>
      </c>
      <c r="F116" s="17">
        <f>'Tabla_Ocurrencia Insideo'!F113</f>
        <v>3.2091379310344799</v>
      </c>
      <c r="G116" s="17">
        <f>'Tabla_Ocurrencia Insideo'!G113</f>
        <v>21.1324137931034</v>
      </c>
      <c r="H116" s="18">
        <f>'Tabla_Ocurrencia Insideo'!I113</f>
        <v>1.4491812126148727E-4</v>
      </c>
      <c r="I116" s="19">
        <f>'Tabla_Ocurrencia Insideo'!J113</f>
        <v>5.2895114260442848E-2</v>
      </c>
    </row>
    <row r="117" spans="1:9" ht="15.6" x14ac:dyDescent="0.3">
      <c r="A117" s="16" t="str">
        <f>'Tabla_Ocurrencia Insideo'!C114</f>
        <v>WNW</v>
      </c>
      <c r="B117" s="17" t="str">
        <f>'Tabla_Ocurrencia Insideo'!D114</f>
        <v>281,25° – 303,75°</v>
      </c>
      <c r="C117" s="17" t="str">
        <f>'Tabla_Ocurrencia Insideo'!A114</f>
        <v>1.0 - 1.5</v>
      </c>
      <c r="D117" s="17" t="str">
        <f>'Tabla_Ocurrencia Insideo'!B114</f>
        <v>20.0 - 23.0</v>
      </c>
      <c r="E117" s="17">
        <f>'Tabla_Ocurrencia Insideo'!H114</f>
        <v>302.21052631578902</v>
      </c>
      <c r="F117" s="17">
        <f>'Tabla_Ocurrencia Insideo'!F114</f>
        <v>1.4092982456140299</v>
      </c>
      <c r="G117" s="17">
        <f>'Tabla_Ocurrencia Insideo'!G114</f>
        <v>21.252807017543802</v>
      </c>
      <c r="H117" s="18">
        <f>'Tabla_Ocurrencia Insideo'!I114</f>
        <v>1.4241953296387542E-4</v>
      </c>
      <c r="I117" s="19">
        <f>'Tabla_Ocurrencia Insideo'!J114</f>
        <v>5.1983129531814526E-2</v>
      </c>
    </row>
    <row r="118" spans="1:9" ht="15.6" x14ac:dyDescent="0.3">
      <c r="A118" s="16" t="str">
        <f>'Tabla_Ocurrencia Insideo'!C115</f>
        <v>SSE</v>
      </c>
      <c r="B118" s="17" t="str">
        <f>'Tabla_Ocurrencia Insideo'!D115</f>
        <v>146,25° – 168,75°</v>
      </c>
      <c r="C118" s="17" t="str">
        <f>'Tabla_Ocurrencia Insideo'!A115</f>
        <v>0.5 - 1.0</v>
      </c>
      <c r="D118" s="17" t="str">
        <f>'Tabla_Ocurrencia Insideo'!B115</f>
        <v>11.0 - 14.0</v>
      </c>
      <c r="E118" s="17">
        <f>'Tabla_Ocurrencia Insideo'!H115</f>
        <v>162.962962962962</v>
      </c>
      <c r="F118" s="17">
        <f>'Tabla_Ocurrencia Insideo'!F115</f>
        <v>0.682037037037037</v>
      </c>
      <c r="G118" s="17">
        <f>'Tabla_Ocurrencia Insideo'!G115</f>
        <v>13.2901851851851</v>
      </c>
      <c r="H118" s="18">
        <f>'Tabla_Ocurrencia Insideo'!I115</f>
        <v>1.3492376807103986E-4</v>
      </c>
      <c r="I118" s="19">
        <f>'Tabla_Ocurrencia Insideo'!J115</f>
        <v>4.9247175345929553E-2</v>
      </c>
    </row>
    <row r="119" spans="1:9" ht="15.6" x14ac:dyDescent="0.3">
      <c r="A119" s="16" t="str">
        <f>'Tabla_Ocurrencia Insideo'!C116</f>
        <v>S</v>
      </c>
      <c r="B119" s="17" t="str">
        <f>'Tabla_Ocurrencia Insideo'!D116</f>
        <v>168,75° – 191,25°</v>
      </c>
      <c r="C119" s="17" t="str">
        <f>'Tabla_Ocurrencia Insideo'!A116</f>
        <v>0.5 - 1.0</v>
      </c>
      <c r="D119" s="17" t="str">
        <f>'Tabla_Ocurrencia Insideo'!B116</f>
        <v>5.0 - 8.0</v>
      </c>
      <c r="E119" s="17">
        <f>'Tabla_Ocurrencia Insideo'!H116</f>
        <v>179.79245283018801</v>
      </c>
      <c r="F119" s="17">
        <f>'Tabla_Ocurrencia Insideo'!F116</f>
        <v>0.71056603773584903</v>
      </c>
      <c r="G119" s="17">
        <f>'Tabla_Ocurrencia Insideo'!G116</f>
        <v>5.5477358490566004</v>
      </c>
      <c r="H119" s="18">
        <f>'Tabla_Ocurrencia Insideo'!I116</f>
        <v>1.32425179773428E-4</v>
      </c>
      <c r="I119" s="19">
        <f>'Tabla_Ocurrencia Insideo'!J116</f>
        <v>4.8335190617301224E-2</v>
      </c>
    </row>
    <row r="120" spans="1:9" ht="15.6" x14ac:dyDescent="0.3">
      <c r="A120" s="16" t="str">
        <f>'Tabla_Ocurrencia Insideo'!C117</f>
        <v>S</v>
      </c>
      <c r="B120" s="17" t="str">
        <f>'Tabla_Ocurrencia Insideo'!D117</f>
        <v>168,75° – 191,25°</v>
      </c>
      <c r="C120" s="17" t="str">
        <f>'Tabla_Ocurrencia Insideo'!A117</f>
        <v>1.0 - 1.5</v>
      </c>
      <c r="D120" s="17" t="str">
        <f>'Tabla_Ocurrencia Insideo'!B117</f>
        <v>11.0 - 14.0</v>
      </c>
      <c r="E120" s="17">
        <f>'Tabla_Ocurrencia Insideo'!H117</f>
        <v>183.84905660377299</v>
      </c>
      <c r="F120" s="17">
        <f>'Tabla_Ocurrencia Insideo'!F117</f>
        <v>1.3826415094339599</v>
      </c>
      <c r="G120" s="17">
        <f>'Tabla_Ocurrencia Insideo'!G117</f>
        <v>12.9045283018867</v>
      </c>
      <c r="H120" s="18">
        <f>'Tabla_Ocurrencia Insideo'!I117</f>
        <v>1.32425179773428E-4</v>
      </c>
      <c r="I120" s="19">
        <f>'Tabla_Ocurrencia Insideo'!J117</f>
        <v>4.8335190617301224E-2</v>
      </c>
    </row>
    <row r="121" spans="1:9" ht="15.6" x14ac:dyDescent="0.3">
      <c r="A121" s="16" t="str">
        <f>'Tabla_Ocurrencia Insideo'!C118</f>
        <v>SSW</v>
      </c>
      <c r="B121" s="17" t="str">
        <f>'Tabla_Ocurrencia Insideo'!D118</f>
        <v>191,25° – 213,75°</v>
      </c>
      <c r="C121" s="17" t="str">
        <f>'Tabla_Ocurrencia Insideo'!A118</f>
        <v>1.5 - 2.0</v>
      </c>
      <c r="D121" s="17" t="str">
        <f>'Tabla_Ocurrencia Insideo'!B118</f>
        <v>5.0 - 8.0</v>
      </c>
      <c r="E121" s="17">
        <f>'Tabla_Ocurrencia Insideo'!H118</f>
        <v>205.04</v>
      </c>
      <c r="F121" s="17">
        <f>'Tabla_Ocurrencia Insideo'!F118</f>
        <v>1.7922</v>
      </c>
      <c r="G121" s="17">
        <f>'Tabla_Ocurrencia Insideo'!G118</f>
        <v>5.9412000000000003</v>
      </c>
      <c r="H121" s="18">
        <f>'Tabla_Ocurrencia Insideo'!I118</f>
        <v>1.2492941488059247E-4</v>
      </c>
      <c r="I121" s="19">
        <f>'Tabla_Ocurrencia Insideo'!J118</f>
        <v>4.5599236431416251E-2</v>
      </c>
    </row>
    <row r="122" spans="1:9" ht="15.6" x14ac:dyDescent="0.3">
      <c r="A122" s="16" t="str">
        <f>'Tabla_Ocurrencia Insideo'!C119</f>
        <v>WNW</v>
      </c>
      <c r="B122" s="17" t="str">
        <f>'Tabla_Ocurrencia Insideo'!D119</f>
        <v>281,25° – 303,75°</v>
      </c>
      <c r="C122" s="17" t="str">
        <f>'Tabla_Ocurrencia Insideo'!A119</f>
        <v>1.5 - 2.0</v>
      </c>
      <c r="D122" s="17" t="str">
        <f>'Tabla_Ocurrencia Insideo'!B119</f>
        <v>23.0 - 26.0</v>
      </c>
      <c r="E122" s="17">
        <f>'Tabla_Ocurrencia Insideo'!H119</f>
        <v>302.69767441860398</v>
      </c>
      <c r="F122" s="17">
        <f>'Tabla_Ocurrencia Insideo'!F119</f>
        <v>1.7265116279069701</v>
      </c>
      <c r="G122" s="17">
        <f>'Tabla_Ocurrencia Insideo'!G119</f>
        <v>23.541395348837199</v>
      </c>
      <c r="H122" s="18">
        <f>'Tabla_Ocurrencia Insideo'!I119</f>
        <v>1.0743929679730952E-4</v>
      </c>
      <c r="I122" s="19">
        <f>'Tabla_Ocurrencia Insideo'!J119</f>
        <v>3.9215343331017977E-2</v>
      </c>
    </row>
    <row r="123" spans="1:9" ht="15.6" x14ac:dyDescent="0.3">
      <c r="A123" s="16" t="str">
        <f>'Tabla_Ocurrencia Insideo'!C120</f>
        <v>SSW</v>
      </c>
      <c r="B123" s="17" t="str">
        <f>'Tabla_Ocurrencia Insideo'!D120</f>
        <v>191,25° – 213,75°</v>
      </c>
      <c r="C123" s="17" t="str">
        <f>'Tabla_Ocurrencia Insideo'!A120</f>
        <v>3.5 - 4.0</v>
      </c>
      <c r="D123" s="17" t="str">
        <f>'Tabla_Ocurrencia Insideo'!B120</f>
        <v>20.0 - 23.0</v>
      </c>
      <c r="E123" s="17">
        <f>'Tabla_Ocurrencia Insideo'!H120</f>
        <v>206.07142857142799</v>
      </c>
      <c r="F123" s="17">
        <f>'Tabla_Ocurrencia Insideo'!F120</f>
        <v>3.7145238095237998</v>
      </c>
      <c r="G123" s="17">
        <f>'Tabla_Ocurrencia Insideo'!G120</f>
        <v>20.827619047618999</v>
      </c>
      <c r="H123" s="18">
        <f>'Tabla_Ocurrencia Insideo'!I120</f>
        <v>1.0494070849969767E-4</v>
      </c>
      <c r="I123" s="19">
        <f>'Tabla_Ocurrencia Insideo'!J120</f>
        <v>3.8303358602389648E-2</v>
      </c>
    </row>
    <row r="124" spans="1:9" ht="15.6" x14ac:dyDescent="0.3">
      <c r="A124" s="16" t="str">
        <f>'Tabla_Ocurrencia Insideo'!C121</f>
        <v>WSW</v>
      </c>
      <c r="B124" s="17" t="str">
        <f>'Tabla_Ocurrencia Insideo'!D121</f>
        <v>236,25° – 258,75°</v>
      </c>
      <c r="C124" s="17" t="str">
        <f>'Tabla_Ocurrencia Insideo'!A121</f>
        <v>3.0 - 3.5</v>
      </c>
      <c r="D124" s="17" t="str">
        <f>'Tabla_Ocurrencia Insideo'!B121</f>
        <v>17.0 - 20.0</v>
      </c>
      <c r="E124" s="17">
        <f>'Tabla_Ocurrencia Insideo'!H121</f>
        <v>239.74358974358901</v>
      </c>
      <c r="F124" s="17">
        <f>'Tabla_Ocurrencia Insideo'!F121</f>
        <v>3.1748717948717902</v>
      </c>
      <c r="G124" s="17">
        <f>'Tabla_Ocurrencia Insideo'!G121</f>
        <v>18.035128205128199</v>
      </c>
      <c r="H124" s="18">
        <f>'Tabla_Ocurrencia Insideo'!I121</f>
        <v>9.7444943606862119E-5</v>
      </c>
      <c r="I124" s="19">
        <f>'Tabla_Ocurrencia Insideo'!J121</f>
        <v>3.5567404416504675E-2</v>
      </c>
    </row>
    <row r="125" spans="1:9" ht="15.6" x14ac:dyDescent="0.3">
      <c r="A125" s="16" t="str">
        <f>'Tabla_Ocurrencia Insideo'!C122</f>
        <v>SW</v>
      </c>
      <c r="B125" s="17" t="str">
        <f>'Tabla_Ocurrencia Insideo'!D122</f>
        <v>213,75° – 236,25°</v>
      </c>
      <c r="C125" s="17" t="str">
        <f>'Tabla_Ocurrencia Insideo'!A122</f>
        <v>1.5 - 2.0</v>
      </c>
      <c r="D125" s="17" t="str">
        <f>'Tabla_Ocurrencia Insideo'!B122</f>
        <v>23.0 - 26.0</v>
      </c>
      <c r="E125" s="17">
        <f>'Tabla_Ocurrencia Insideo'!H122</f>
        <v>217.657894736842</v>
      </c>
      <c r="F125" s="17">
        <f>'Tabla_Ocurrencia Insideo'!F122</f>
        <v>1.74921052631578</v>
      </c>
      <c r="G125" s="17">
        <f>'Tabla_Ocurrencia Insideo'!G122</f>
        <v>23.477105263157799</v>
      </c>
      <c r="H125" s="18">
        <f>'Tabla_Ocurrencia Insideo'!I122</f>
        <v>9.4946355309250279E-5</v>
      </c>
      <c r="I125" s="19">
        <f>'Tabla_Ocurrencia Insideo'!J122</f>
        <v>3.4655419687876353E-2</v>
      </c>
    </row>
    <row r="126" spans="1:9" ht="15.6" x14ac:dyDescent="0.3">
      <c r="A126" s="16" t="str">
        <f>'Tabla_Ocurrencia Insideo'!C123</f>
        <v>W</v>
      </c>
      <c r="B126" s="17" t="str">
        <f>'Tabla_Ocurrencia Insideo'!D123</f>
        <v>258,75° – 281,25°</v>
      </c>
      <c r="C126" s="17" t="str">
        <f>'Tabla_Ocurrencia Insideo'!A123</f>
        <v>2.5 - 3.0</v>
      </c>
      <c r="D126" s="17" t="str">
        <f>'Tabla_Ocurrencia Insideo'!B123</f>
        <v>17.0 - 20.0</v>
      </c>
      <c r="E126" s="17">
        <f>'Tabla_Ocurrencia Insideo'!H123</f>
        <v>267.605263157894</v>
      </c>
      <c r="F126" s="17">
        <f>'Tabla_Ocurrencia Insideo'!F123</f>
        <v>2.6742105263157798</v>
      </c>
      <c r="G126" s="17">
        <f>'Tabla_Ocurrencia Insideo'!G123</f>
        <v>17.921842105263099</v>
      </c>
      <c r="H126" s="18">
        <f>'Tabla_Ocurrencia Insideo'!I123</f>
        <v>9.4946355309250279E-5</v>
      </c>
      <c r="I126" s="19">
        <f>'Tabla_Ocurrencia Insideo'!J123</f>
        <v>3.4655419687876353E-2</v>
      </c>
    </row>
    <row r="127" spans="1:9" ht="15.6" x14ac:dyDescent="0.3">
      <c r="A127" s="16" t="str">
        <f>'Tabla_Ocurrencia Insideo'!C124</f>
        <v>SSE</v>
      </c>
      <c r="B127" s="17" t="str">
        <f>'Tabla_Ocurrencia Insideo'!D124</f>
        <v>146,25° – 168,75°</v>
      </c>
      <c r="C127" s="17" t="str">
        <f>'Tabla_Ocurrencia Insideo'!A124</f>
        <v>1.0 - 1.5</v>
      </c>
      <c r="D127" s="17" t="str">
        <f>'Tabla_Ocurrencia Insideo'!B124</f>
        <v>17.0 - 20.0</v>
      </c>
      <c r="E127" s="17">
        <f>'Tabla_Ocurrencia Insideo'!H124</f>
        <v>161.777777777777</v>
      </c>
      <c r="F127" s="17">
        <f>'Tabla_Ocurrencia Insideo'!F124</f>
        <v>1.2988888888888801</v>
      </c>
      <c r="G127" s="17">
        <f>'Tabla_Ocurrencia Insideo'!G124</f>
        <v>17.845555555555499</v>
      </c>
      <c r="H127" s="18">
        <f>'Tabla_Ocurrencia Insideo'!I124</f>
        <v>8.9949178714026571E-5</v>
      </c>
      <c r="I127" s="19">
        <f>'Tabla_Ocurrencia Insideo'!J124</f>
        <v>3.2831450230619702E-2</v>
      </c>
    </row>
    <row r="128" spans="1:9" ht="15.6" x14ac:dyDescent="0.3">
      <c r="A128" s="16" t="str">
        <f>'Tabla_Ocurrencia Insideo'!C125</f>
        <v>S</v>
      </c>
      <c r="B128" s="17" t="str">
        <f>'Tabla_Ocurrencia Insideo'!D125</f>
        <v>168,75° – 191,25°</v>
      </c>
      <c r="C128" s="17" t="str">
        <f>'Tabla_Ocurrencia Insideo'!A125</f>
        <v>1.0 - 1.5</v>
      </c>
      <c r="D128" s="17" t="str">
        <f>'Tabla_Ocurrencia Insideo'!B125</f>
        <v>17.0 - 20.0</v>
      </c>
      <c r="E128" s="17">
        <f>'Tabla_Ocurrencia Insideo'!H125</f>
        <v>182.71428571428501</v>
      </c>
      <c r="F128" s="17">
        <f>'Tabla_Ocurrencia Insideo'!F125</f>
        <v>1.3471428571428501</v>
      </c>
      <c r="G128" s="17">
        <f>'Tabla_Ocurrencia Insideo'!G125</f>
        <v>17.947999999999901</v>
      </c>
      <c r="H128" s="18">
        <f>'Tabla_Ocurrencia Insideo'!I125</f>
        <v>8.7450590416414731E-5</v>
      </c>
      <c r="I128" s="19">
        <f>'Tabla_Ocurrencia Insideo'!J125</f>
        <v>3.1919465501991373E-2</v>
      </c>
    </row>
    <row r="129" spans="1:9" ht="15.6" x14ac:dyDescent="0.3">
      <c r="A129" s="16" t="str">
        <f>'Tabla_Ocurrencia Insideo'!C126</f>
        <v>S</v>
      </c>
      <c r="B129" s="17" t="str">
        <f>'Tabla_Ocurrencia Insideo'!D126</f>
        <v>168,75° – 191,25°</v>
      </c>
      <c r="C129" s="17" t="str">
        <f>'Tabla_Ocurrencia Insideo'!A126</f>
        <v>0.5 - 1.0</v>
      </c>
      <c r="D129" s="17" t="str">
        <f>'Tabla_Ocurrencia Insideo'!B126</f>
        <v>11.0 - 14.0</v>
      </c>
      <c r="E129" s="17">
        <f>'Tabla_Ocurrencia Insideo'!H126</f>
        <v>172.26470588235199</v>
      </c>
      <c r="F129" s="17">
        <f>'Tabla_Ocurrencia Insideo'!F126</f>
        <v>0.70529411764705796</v>
      </c>
      <c r="G129" s="17">
        <f>'Tabla_Ocurrencia Insideo'!G126</f>
        <v>13.484117647058801</v>
      </c>
      <c r="H129" s="18">
        <f>'Tabla_Ocurrencia Insideo'!I126</f>
        <v>8.4952002118802877E-5</v>
      </c>
      <c r="I129" s="19">
        <f>'Tabla_Ocurrencia Insideo'!J126</f>
        <v>3.1007480773363051E-2</v>
      </c>
    </row>
    <row r="130" spans="1:9" ht="15.6" x14ac:dyDescent="0.3">
      <c r="A130" s="16" t="str">
        <f>'Tabla_Ocurrencia Insideo'!C127</f>
        <v>SSW</v>
      </c>
      <c r="B130" s="17" t="str">
        <f>'Tabla_Ocurrencia Insideo'!D127</f>
        <v>191,25° – 213,75°</v>
      </c>
      <c r="C130" s="17" t="str">
        <f>'Tabla_Ocurrencia Insideo'!A127</f>
        <v>2.0 - 2.5</v>
      </c>
      <c r="D130" s="17" t="str">
        <f>'Tabla_Ocurrencia Insideo'!B127</f>
        <v>5.0 - 8.0</v>
      </c>
      <c r="E130" s="17">
        <f>'Tabla_Ocurrencia Insideo'!H127</f>
        <v>208.85294117647001</v>
      </c>
      <c r="F130" s="17">
        <f>'Tabla_Ocurrencia Insideo'!F127</f>
        <v>2.1520588235294098</v>
      </c>
      <c r="G130" s="17">
        <f>'Tabla_Ocurrencia Insideo'!G127</f>
        <v>5.5541176470588196</v>
      </c>
      <c r="H130" s="18">
        <f>'Tabla_Ocurrencia Insideo'!I127</f>
        <v>8.4952002118802877E-5</v>
      </c>
      <c r="I130" s="19">
        <f>'Tabla_Ocurrencia Insideo'!J127</f>
        <v>3.1007480773363051E-2</v>
      </c>
    </row>
    <row r="131" spans="1:9" ht="15.6" x14ac:dyDescent="0.3">
      <c r="A131" s="16" t="str">
        <f>'Tabla_Ocurrencia Insideo'!C128</f>
        <v>SSW</v>
      </c>
      <c r="B131" s="17" t="str">
        <f>'Tabla_Ocurrencia Insideo'!D128</f>
        <v>191,25° – 213,75°</v>
      </c>
      <c r="C131" s="17" t="str">
        <f>'Tabla_Ocurrencia Insideo'!A128</f>
        <v>3.0 - 3.5</v>
      </c>
      <c r="D131" s="17" t="str">
        <f>'Tabla_Ocurrencia Insideo'!B128</f>
        <v>8.0 - 11.0</v>
      </c>
      <c r="E131" s="17">
        <f>'Tabla_Ocurrencia Insideo'!H128</f>
        <v>194.617647058823</v>
      </c>
      <c r="F131" s="17">
        <f>'Tabla_Ocurrencia Insideo'!F128</f>
        <v>3.2314705882352901</v>
      </c>
      <c r="G131" s="17">
        <f>'Tabla_Ocurrencia Insideo'!G128</f>
        <v>9.9247058823529404</v>
      </c>
      <c r="H131" s="18">
        <f>'Tabla_Ocurrencia Insideo'!I128</f>
        <v>8.4952002118802877E-5</v>
      </c>
      <c r="I131" s="19">
        <f>'Tabla_Ocurrencia Insideo'!J128</f>
        <v>3.1007480773363051E-2</v>
      </c>
    </row>
    <row r="132" spans="1:9" ht="15.6" x14ac:dyDescent="0.3">
      <c r="A132" s="16" t="str">
        <f>'Tabla_Ocurrencia Insideo'!C129</f>
        <v>SSW</v>
      </c>
      <c r="B132" s="17" t="str">
        <f>'Tabla_Ocurrencia Insideo'!D129</f>
        <v>191,25° – 213,75°</v>
      </c>
      <c r="C132" s="17" t="str">
        <f>'Tabla_Ocurrencia Insideo'!A129</f>
        <v>4.5 - 5.0</v>
      </c>
      <c r="D132" s="17" t="str">
        <f>'Tabla_Ocurrencia Insideo'!B129</f>
        <v>14.0 - 17.0</v>
      </c>
      <c r="E132" s="17">
        <f>'Tabla_Ocurrencia Insideo'!H129</f>
        <v>201.06060606060601</v>
      </c>
      <c r="F132" s="17">
        <f>'Tabla_Ocurrencia Insideo'!F129</f>
        <v>4.6478787878787804</v>
      </c>
      <c r="G132" s="17">
        <f>'Tabla_Ocurrencia Insideo'!G129</f>
        <v>15.6454545454545</v>
      </c>
      <c r="H132" s="18">
        <f>'Tabla_Ocurrencia Insideo'!I129</f>
        <v>8.2453413821191024E-5</v>
      </c>
      <c r="I132" s="19">
        <f>'Tabla_Ocurrencia Insideo'!J129</f>
        <v>3.0095496044734726E-2</v>
      </c>
    </row>
    <row r="133" spans="1:9" ht="15.6" x14ac:dyDescent="0.3">
      <c r="A133" s="16" t="str">
        <f>'Tabla_Ocurrencia Insideo'!C130</f>
        <v>SW</v>
      </c>
      <c r="B133" s="17" t="str">
        <f>'Tabla_Ocurrencia Insideo'!D130</f>
        <v>213,75° – 236,25°</v>
      </c>
      <c r="C133" s="17" t="str">
        <f>'Tabla_Ocurrencia Insideo'!A130</f>
        <v>1.0 - 1.5</v>
      </c>
      <c r="D133" s="17" t="str">
        <f>'Tabla_Ocurrencia Insideo'!B130</f>
        <v>20.0 - 23.0</v>
      </c>
      <c r="E133" s="17">
        <f>'Tabla_Ocurrencia Insideo'!H130</f>
        <v>220.67741935483801</v>
      </c>
      <c r="F133" s="17">
        <f>'Tabla_Ocurrencia Insideo'!F130</f>
        <v>1.36645161290322</v>
      </c>
      <c r="G133" s="17">
        <f>'Tabla_Ocurrencia Insideo'!G130</f>
        <v>21.181612903225801</v>
      </c>
      <c r="H133" s="18">
        <f>'Tabla_Ocurrencia Insideo'!I130</f>
        <v>7.745623722596733E-5</v>
      </c>
      <c r="I133" s="19">
        <f>'Tabla_Ocurrencia Insideo'!J130</f>
        <v>2.8271526587478075E-2</v>
      </c>
    </row>
    <row r="134" spans="1:9" ht="15.6" x14ac:dyDescent="0.3">
      <c r="A134" s="16" t="str">
        <f>'Tabla_Ocurrencia Insideo'!C131</f>
        <v>NW</v>
      </c>
      <c r="B134" s="17" t="str">
        <f>'Tabla_Ocurrencia Insideo'!D131</f>
        <v>303,75° – 326,25°</v>
      </c>
      <c r="C134" s="17" t="str">
        <f>'Tabla_Ocurrencia Insideo'!A131</f>
        <v>1.0 - 1.5</v>
      </c>
      <c r="D134" s="17" t="str">
        <f>'Tabla_Ocurrencia Insideo'!B131</f>
        <v>20.0 - 23.0</v>
      </c>
      <c r="E134" s="17">
        <f>'Tabla_Ocurrencia Insideo'!H131</f>
        <v>304.41935483870901</v>
      </c>
      <c r="F134" s="17">
        <f>'Tabla_Ocurrencia Insideo'!F131</f>
        <v>1.44290322580645</v>
      </c>
      <c r="G134" s="17">
        <f>'Tabla_Ocurrencia Insideo'!G131</f>
        <v>21.125806451612899</v>
      </c>
      <c r="H134" s="18">
        <f>'Tabla_Ocurrencia Insideo'!I131</f>
        <v>7.745623722596733E-5</v>
      </c>
      <c r="I134" s="19">
        <f>'Tabla_Ocurrencia Insideo'!J131</f>
        <v>2.8271526587478075E-2</v>
      </c>
    </row>
    <row r="135" spans="1:9" ht="15.6" x14ac:dyDescent="0.3">
      <c r="A135" s="16" t="str">
        <f>'Tabla_Ocurrencia Insideo'!C132</f>
        <v>SW</v>
      </c>
      <c r="B135" s="17" t="str">
        <f>'Tabla_Ocurrencia Insideo'!D132</f>
        <v>213,75° – 236,25°</v>
      </c>
      <c r="C135" s="17" t="str">
        <f>'Tabla_Ocurrencia Insideo'!A132</f>
        <v>2.5 - 3.0</v>
      </c>
      <c r="D135" s="17" t="str">
        <f>'Tabla_Ocurrencia Insideo'!B132</f>
        <v>23.0 - 26.0</v>
      </c>
      <c r="E135" s="17">
        <f>'Tabla_Ocurrencia Insideo'!H132</f>
        <v>218.6</v>
      </c>
      <c r="F135" s="17">
        <f>'Tabla_Ocurrencia Insideo'!F132</f>
        <v>2.6373333333333302</v>
      </c>
      <c r="G135" s="17">
        <f>'Tabla_Ocurrencia Insideo'!G132</f>
        <v>24.057666666666599</v>
      </c>
      <c r="H135" s="18">
        <f>'Tabla_Ocurrencia Insideo'!I132</f>
        <v>7.4957648928355476E-5</v>
      </c>
      <c r="I135" s="19">
        <f>'Tabla_Ocurrencia Insideo'!J132</f>
        <v>2.7359541858849749E-2</v>
      </c>
    </row>
    <row r="136" spans="1:9" ht="15.6" x14ac:dyDescent="0.3">
      <c r="A136" s="16" t="str">
        <f>'Tabla_Ocurrencia Insideo'!C133</f>
        <v>NW</v>
      </c>
      <c r="B136" s="17" t="str">
        <f>'Tabla_Ocurrencia Insideo'!D133</f>
        <v>303,75° – 326,25°</v>
      </c>
      <c r="C136" s="17" t="str">
        <f>'Tabla_Ocurrencia Insideo'!A133</f>
        <v>1.5 - 2.0</v>
      </c>
      <c r="D136" s="17" t="str">
        <f>'Tabla_Ocurrencia Insideo'!B133</f>
        <v>23.0 - 26.0</v>
      </c>
      <c r="E136" s="17">
        <f>'Tabla_Ocurrencia Insideo'!H133</f>
        <v>304</v>
      </c>
      <c r="F136" s="17">
        <f>'Tabla_Ocurrencia Insideo'!F133</f>
        <v>1.8431034482758599</v>
      </c>
      <c r="G136" s="17">
        <f>'Tabla_Ocurrencia Insideo'!G133</f>
        <v>23.5444827586206</v>
      </c>
      <c r="H136" s="18">
        <f>'Tabla_Ocurrencia Insideo'!I133</f>
        <v>7.2459060630743636E-5</v>
      </c>
      <c r="I136" s="19">
        <f>'Tabla_Ocurrencia Insideo'!J133</f>
        <v>2.6447557130221424E-2</v>
      </c>
    </row>
    <row r="137" spans="1:9" ht="15.6" x14ac:dyDescent="0.3">
      <c r="A137" s="16" t="str">
        <f>'Tabla_Ocurrencia Insideo'!C134</f>
        <v>S</v>
      </c>
      <c r="B137" s="17" t="str">
        <f>'Tabla_Ocurrencia Insideo'!D134</f>
        <v>168,75° – 191,25°</v>
      </c>
      <c r="C137" s="17" t="str">
        <f>'Tabla_Ocurrencia Insideo'!A134</f>
        <v>3.5 - 4.0</v>
      </c>
      <c r="D137" s="17" t="str">
        <f>'Tabla_Ocurrencia Insideo'!B134</f>
        <v>11.0 - 14.0</v>
      </c>
      <c r="E137" s="17">
        <f>'Tabla_Ocurrencia Insideo'!H134</f>
        <v>184.93103448275801</v>
      </c>
      <c r="F137" s="17">
        <f>'Tabla_Ocurrencia Insideo'!F134</f>
        <v>3.6537931034482698</v>
      </c>
      <c r="G137" s="17">
        <f>'Tabla_Ocurrencia Insideo'!G134</f>
        <v>11.832413793103401</v>
      </c>
      <c r="H137" s="18">
        <f>'Tabla_Ocurrencia Insideo'!I134</f>
        <v>7.2459060630743636E-5</v>
      </c>
      <c r="I137" s="19">
        <f>'Tabla_Ocurrencia Insideo'!J134</f>
        <v>2.6447557130221424E-2</v>
      </c>
    </row>
    <row r="138" spans="1:9" ht="15.6" x14ac:dyDescent="0.3">
      <c r="A138" s="16" t="str">
        <f>'Tabla_Ocurrencia Insideo'!C135</f>
        <v>W</v>
      </c>
      <c r="B138" s="17" t="str">
        <f>'Tabla_Ocurrencia Insideo'!D135</f>
        <v>258,75° – 281,25°</v>
      </c>
      <c r="C138" s="17" t="str">
        <f>'Tabla_Ocurrencia Insideo'!A135</f>
        <v>1.0 - 1.5</v>
      </c>
      <c r="D138" s="17" t="str">
        <f>'Tabla_Ocurrencia Insideo'!B135</f>
        <v>17.0 - 20.0</v>
      </c>
      <c r="E138" s="17">
        <f>'Tabla_Ocurrencia Insideo'!H135</f>
        <v>273.96428571428498</v>
      </c>
      <c r="F138" s="17">
        <f>'Tabla_Ocurrencia Insideo'!F135</f>
        <v>1.3975</v>
      </c>
      <c r="G138" s="17">
        <f>'Tabla_Ocurrencia Insideo'!G135</f>
        <v>18.047857142857101</v>
      </c>
      <c r="H138" s="18">
        <f>'Tabla_Ocurrencia Insideo'!I135</f>
        <v>6.9960472333131782E-5</v>
      </c>
      <c r="I138" s="19">
        <f>'Tabla_Ocurrencia Insideo'!J135</f>
        <v>2.5535572401593098E-2</v>
      </c>
    </row>
    <row r="139" spans="1:9" ht="15.6" x14ac:dyDescent="0.3">
      <c r="A139" s="16" t="str">
        <f>'Tabla_Ocurrencia Insideo'!C136</f>
        <v>SW</v>
      </c>
      <c r="B139" s="17" t="str">
        <f>'Tabla_Ocurrencia Insideo'!D136</f>
        <v>213,75° – 236,25°</v>
      </c>
      <c r="C139" s="17" t="str">
        <f>'Tabla_Ocurrencia Insideo'!A136</f>
        <v>2.0 - 2.5</v>
      </c>
      <c r="D139" s="17" t="str">
        <f>'Tabla_Ocurrencia Insideo'!B136</f>
        <v>23.0 - 26.0</v>
      </c>
      <c r="E139" s="17">
        <f>'Tabla_Ocurrencia Insideo'!H136</f>
        <v>220.70370370370301</v>
      </c>
      <c r="F139" s="17">
        <f>'Tabla_Ocurrencia Insideo'!F136</f>
        <v>2.17148148148148</v>
      </c>
      <c r="G139" s="17">
        <f>'Tabla_Ocurrencia Insideo'!G136</f>
        <v>23.5248148148148</v>
      </c>
      <c r="H139" s="18">
        <f>'Tabla_Ocurrencia Insideo'!I136</f>
        <v>6.7461884035519928E-5</v>
      </c>
      <c r="I139" s="19">
        <f>'Tabla_Ocurrencia Insideo'!J136</f>
        <v>2.4623587672964777E-2</v>
      </c>
    </row>
    <row r="140" spans="1:9" ht="15.6" x14ac:dyDescent="0.3">
      <c r="A140" s="16" t="str">
        <f>'Tabla_Ocurrencia Insideo'!C137</f>
        <v>W</v>
      </c>
      <c r="B140" s="17" t="str">
        <f>'Tabla_Ocurrencia Insideo'!D137</f>
        <v>258,75° – 281,25°</v>
      </c>
      <c r="C140" s="17" t="str">
        <f>'Tabla_Ocurrencia Insideo'!A137</f>
        <v>2.5 - 3.0</v>
      </c>
      <c r="D140" s="17" t="str">
        <f>'Tabla_Ocurrencia Insideo'!B137</f>
        <v>14.0 - 17.0</v>
      </c>
      <c r="E140" s="17">
        <f>'Tabla_Ocurrencia Insideo'!H137</f>
        <v>266.25</v>
      </c>
      <c r="F140" s="17">
        <f>'Tabla_Ocurrencia Insideo'!F137</f>
        <v>2.5845833333333301</v>
      </c>
      <c r="G140" s="17">
        <f>'Tabla_Ocurrencia Insideo'!G137</f>
        <v>16.635833333333299</v>
      </c>
      <c r="H140" s="18">
        <f>'Tabla_Ocurrencia Insideo'!I137</f>
        <v>5.9966119142684381E-5</v>
      </c>
      <c r="I140" s="19">
        <f>'Tabla_Ocurrencia Insideo'!J137</f>
        <v>2.18876334870798E-2</v>
      </c>
    </row>
    <row r="141" spans="1:9" ht="15.6" x14ac:dyDescent="0.3">
      <c r="A141" s="16" t="str">
        <f>'Tabla_Ocurrencia Insideo'!C138</f>
        <v>SSE</v>
      </c>
      <c r="B141" s="17" t="str">
        <f>'Tabla_Ocurrencia Insideo'!D138</f>
        <v>146,25° – 168,75°</v>
      </c>
      <c r="C141" s="17" t="str">
        <f>'Tabla_Ocurrencia Insideo'!A138</f>
        <v>1.0 - 1.5</v>
      </c>
      <c r="D141" s="17" t="str">
        <f>'Tabla_Ocurrencia Insideo'!B138</f>
        <v>11.0 - 14.0</v>
      </c>
      <c r="E141" s="17">
        <f>'Tabla_Ocurrencia Insideo'!H138</f>
        <v>165.09090909090901</v>
      </c>
      <c r="F141" s="17">
        <f>'Tabla_Ocurrencia Insideo'!F138</f>
        <v>1.1245454545454501</v>
      </c>
      <c r="G141" s="17">
        <f>'Tabla_Ocurrencia Insideo'!G138</f>
        <v>13.0290909090909</v>
      </c>
      <c r="H141" s="18">
        <f>'Tabla_Ocurrencia Insideo'!I138</f>
        <v>5.4968942547460687E-5</v>
      </c>
      <c r="I141" s="19">
        <f>'Tabla_Ocurrencia Insideo'!J138</f>
        <v>2.0063664029823149E-2</v>
      </c>
    </row>
    <row r="142" spans="1:9" ht="15.6" x14ac:dyDescent="0.3">
      <c r="A142" s="16" t="str">
        <f>'Tabla_Ocurrencia Insideo'!C139</f>
        <v>SSE</v>
      </c>
      <c r="B142" s="17" t="str">
        <f>'Tabla_Ocurrencia Insideo'!D139</f>
        <v>146,25° – 168,75°</v>
      </c>
      <c r="C142" s="17" t="str">
        <f>'Tabla_Ocurrencia Insideo'!A139</f>
        <v>1.5 - 2.0</v>
      </c>
      <c r="D142" s="17" t="str">
        <f>'Tabla_Ocurrencia Insideo'!B139</f>
        <v>17.0 - 20.0</v>
      </c>
      <c r="E142" s="17">
        <f>'Tabla_Ocurrencia Insideo'!H139</f>
        <v>162.54545454545399</v>
      </c>
      <c r="F142" s="17">
        <f>'Tabla_Ocurrencia Insideo'!F139</f>
        <v>1.5827272727272701</v>
      </c>
      <c r="G142" s="17">
        <f>'Tabla_Ocurrencia Insideo'!G139</f>
        <v>17.512727272727201</v>
      </c>
      <c r="H142" s="18">
        <f>'Tabla_Ocurrencia Insideo'!I139</f>
        <v>5.4968942547460687E-5</v>
      </c>
      <c r="I142" s="19">
        <f>'Tabla_Ocurrencia Insideo'!J139</f>
        <v>2.0063664029823149E-2</v>
      </c>
    </row>
    <row r="143" spans="1:9" ht="15.6" x14ac:dyDescent="0.3">
      <c r="A143" s="16" t="str">
        <f>'Tabla_Ocurrencia Insideo'!C140</f>
        <v>S</v>
      </c>
      <c r="B143" s="17" t="str">
        <f>'Tabla_Ocurrencia Insideo'!D140</f>
        <v>168,75° – 191,25°</v>
      </c>
      <c r="C143" s="17" t="str">
        <f>'Tabla_Ocurrencia Insideo'!A140</f>
        <v>4.5 - 5.0</v>
      </c>
      <c r="D143" s="17" t="str">
        <f>'Tabla_Ocurrencia Insideo'!B140</f>
        <v>8.0 - 11.0</v>
      </c>
      <c r="E143" s="17">
        <f>'Tabla_Ocurrencia Insideo'!H140</f>
        <v>178.772727272727</v>
      </c>
      <c r="F143" s="17">
        <f>'Tabla_Ocurrencia Insideo'!F140</f>
        <v>4.64954545454545</v>
      </c>
      <c r="G143" s="17">
        <f>'Tabla_Ocurrencia Insideo'!G140</f>
        <v>10.2131818181818</v>
      </c>
      <c r="H143" s="18">
        <f>'Tabla_Ocurrencia Insideo'!I140</f>
        <v>5.4968942547460687E-5</v>
      </c>
      <c r="I143" s="19">
        <f>'Tabla_Ocurrencia Insideo'!J140</f>
        <v>2.0063664029823149E-2</v>
      </c>
    </row>
    <row r="144" spans="1:9" ht="15.6" x14ac:dyDescent="0.3">
      <c r="A144" s="16" t="str">
        <f>'Tabla_Ocurrencia Insideo'!C141</f>
        <v>S</v>
      </c>
      <c r="B144" s="17" t="str">
        <f>'Tabla_Ocurrencia Insideo'!D141</f>
        <v>168,75° – 191,25°</v>
      </c>
      <c r="C144" s="17" t="str">
        <f>'Tabla_Ocurrencia Insideo'!A141</f>
        <v>1.0 - 1.5</v>
      </c>
      <c r="D144" s="17" t="str">
        <f>'Tabla_Ocurrencia Insideo'!B141</f>
        <v>5.0 - 8.0</v>
      </c>
      <c r="E144" s="17">
        <f>'Tabla_Ocurrencia Insideo'!H141</f>
        <v>183</v>
      </c>
      <c r="F144" s="17">
        <f>'Tabla_Ocurrencia Insideo'!F141</f>
        <v>1.36904761904761</v>
      </c>
      <c r="G144" s="17">
        <f>'Tabla_Ocurrencia Insideo'!G141</f>
        <v>7.2819047619047597</v>
      </c>
      <c r="H144" s="18">
        <f>'Tabla_Ocurrencia Insideo'!I141</f>
        <v>5.2470354249848833E-5</v>
      </c>
      <c r="I144" s="19">
        <f>'Tabla_Ocurrencia Insideo'!J141</f>
        <v>1.9151679301194824E-2</v>
      </c>
    </row>
    <row r="145" spans="1:9" ht="15.6" x14ac:dyDescent="0.3">
      <c r="A145" s="16" t="str">
        <f>'Tabla_Ocurrencia Insideo'!C142</f>
        <v>SSE</v>
      </c>
      <c r="B145" s="17" t="str">
        <f>'Tabla_Ocurrencia Insideo'!D142</f>
        <v>146,25° – 168,75°</v>
      </c>
      <c r="C145" s="17" t="str">
        <f>'Tabla_Ocurrencia Insideo'!A142</f>
        <v>1.0 - 1.5</v>
      </c>
      <c r="D145" s="17" t="str">
        <f>'Tabla_Ocurrencia Insideo'!B142</f>
        <v>14.0 - 17.0</v>
      </c>
      <c r="E145" s="17">
        <f>'Tabla_Ocurrencia Insideo'!H142</f>
        <v>166.5</v>
      </c>
      <c r="F145" s="17">
        <f>'Tabla_Ocurrencia Insideo'!F142</f>
        <v>1.3140000000000001</v>
      </c>
      <c r="G145" s="17">
        <f>'Tabla_Ocurrencia Insideo'!G142</f>
        <v>15.569999999999901</v>
      </c>
      <c r="H145" s="18">
        <f>'Tabla_Ocurrencia Insideo'!I142</f>
        <v>4.9971765952236986E-5</v>
      </c>
      <c r="I145" s="19">
        <f>'Tabla_Ocurrencia Insideo'!J142</f>
        <v>1.8239694572566498E-2</v>
      </c>
    </row>
    <row r="146" spans="1:9" ht="15.6" x14ac:dyDescent="0.3">
      <c r="A146" s="16" t="str">
        <f>'Tabla_Ocurrencia Insideo'!C143</f>
        <v>SW</v>
      </c>
      <c r="B146" s="17" t="str">
        <f>'Tabla_Ocurrencia Insideo'!D143</f>
        <v>213,75° – 236,25°</v>
      </c>
      <c r="C146" s="17" t="str">
        <f>'Tabla_Ocurrencia Insideo'!A143</f>
        <v>1.5 - 2.0</v>
      </c>
      <c r="D146" s="17" t="str">
        <f>'Tabla_Ocurrencia Insideo'!B143</f>
        <v>2.0 - 5.0</v>
      </c>
      <c r="E146" s="17">
        <f>'Tabla_Ocurrencia Insideo'!H143</f>
        <v>214.8</v>
      </c>
      <c r="F146" s="17">
        <f>'Tabla_Ocurrencia Insideo'!F143</f>
        <v>1.7865</v>
      </c>
      <c r="G146" s="17">
        <f>'Tabla_Ocurrencia Insideo'!G143</f>
        <v>4.2164999999999999</v>
      </c>
      <c r="H146" s="18">
        <f>'Tabla_Ocurrencia Insideo'!I143</f>
        <v>4.9971765952236986E-5</v>
      </c>
      <c r="I146" s="19">
        <f>'Tabla_Ocurrencia Insideo'!J143</f>
        <v>1.8239694572566498E-2</v>
      </c>
    </row>
    <row r="147" spans="1:9" ht="15.6" x14ac:dyDescent="0.3">
      <c r="A147" s="16" t="str">
        <f>'Tabla_Ocurrencia Insideo'!C144</f>
        <v>S</v>
      </c>
      <c r="B147" s="17" t="str">
        <f>'Tabla_Ocurrencia Insideo'!D144</f>
        <v>168,75° – 191,25°</v>
      </c>
      <c r="C147" s="17" t="str">
        <f>'Tabla_Ocurrencia Insideo'!A144</f>
        <v>2.0 - 2.5</v>
      </c>
      <c r="D147" s="17" t="str">
        <f>'Tabla_Ocurrencia Insideo'!B144</f>
        <v>20.0 - 23.0</v>
      </c>
      <c r="E147" s="17">
        <f>'Tabla_Ocurrencia Insideo'!H144</f>
        <v>188.55</v>
      </c>
      <c r="F147" s="17">
        <f>'Tabla_Ocurrencia Insideo'!F144</f>
        <v>2.2635000000000001</v>
      </c>
      <c r="G147" s="17">
        <f>'Tabla_Ocurrencia Insideo'!G144</f>
        <v>20.981000000000002</v>
      </c>
      <c r="H147" s="18">
        <f>'Tabla_Ocurrencia Insideo'!I144</f>
        <v>4.9971765952236986E-5</v>
      </c>
      <c r="I147" s="19">
        <f>'Tabla_Ocurrencia Insideo'!J144</f>
        <v>1.8239694572566498E-2</v>
      </c>
    </row>
    <row r="148" spans="1:9" ht="15.6" x14ac:dyDescent="0.3">
      <c r="A148" s="16" t="str">
        <f>'Tabla_Ocurrencia Insideo'!C145</f>
        <v>S</v>
      </c>
      <c r="B148" s="17" t="str">
        <f>'Tabla_Ocurrencia Insideo'!D145</f>
        <v>168,75° – 191,25°</v>
      </c>
      <c r="C148" s="17" t="str">
        <f>'Tabla_Ocurrencia Insideo'!A145</f>
        <v>3.0 - 3.5</v>
      </c>
      <c r="D148" s="17" t="str">
        <f>'Tabla_Ocurrencia Insideo'!B145</f>
        <v>5.0 - 8.0</v>
      </c>
      <c r="E148" s="17">
        <f>'Tabla_Ocurrencia Insideo'!H145</f>
        <v>176.4</v>
      </c>
      <c r="F148" s="17">
        <f>'Tabla_Ocurrencia Insideo'!F145</f>
        <v>3.1384999999999899</v>
      </c>
      <c r="G148" s="17">
        <f>'Tabla_Ocurrencia Insideo'!G145</f>
        <v>7.8040000000000003</v>
      </c>
      <c r="H148" s="18">
        <f>'Tabla_Ocurrencia Insideo'!I145</f>
        <v>4.9971765952236986E-5</v>
      </c>
      <c r="I148" s="19">
        <f>'Tabla_Ocurrencia Insideo'!J145</f>
        <v>1.8239694572566498E-2</v>
      </c>
    </row>
    <row r="149" spans="1:9" ht="15.6" x14ac:dyDescent="0.3">
      <c r="A149" s="16" t="str">
        <f>'Tabla_Ocurrencia Insideo'!C146</f>
        <v>SSE</v>
      </c>
      <c r="B149" s="17" t="str">
        <f>'Tabla_Ocurrencia Insideo'!D146</f>
        <v>146,25° – 168,75°</v>
      </c>
      <c r="C149" s="17" t="str">
        <f>'Tabla_Ocurrencia Insideo'!A146</f>
        <v>0.5 - 1.0</v>
      </c>
      <c r="D149" s="17" t="str">
        <f>'Tabla_Ocurrencia Insideo'!B146</f>
        <v>17.0 - 20.0</v>
      </c>
      <c r="E149" s="17">
        <f>'Tabla_Ocurrencia Insideo'!H146</f>
        <v>159.947368421052</v>
      </c>
      <c r="F149" s="17">
        <f>'Tabla_Ocurrencia Insideo'!F146</f>
        <v>0.73947368421052595</v>
      </c>
      <c r="G149" s="17">
        <f>'Tabla_Ocurrencia Insideo'!G146</f>
        <v>18.9157894736842</v>
      </c>
      <c r="H149" s="18">
        <f>'Tabla_Ocurrencia Insideo'!I146</f>
        <v>4.7473177654625139E-5</v>
      </c>
      <c r="I149" s="19">
        <f>'Tabla_Ocurrencia Insideo'!J146</f>
        <v>1.7327709843938176E-2</v>
      </c>
    </row>
    <row r="150" spans="1:9" ht="15.6" x14ac:dyDescent="0.3">
      <c r="A150" s="16" t="str">
        <f>'Tabla_Ocurrencia Insideo'!C147</f>
        <v>NW</v>
      </c>
      <c r="B150" s="17" t="str">
        <f>'Tabla_Ocurrencia Insideo'!D147</f>
        <v>303,75° – 326,25°</v>
      </c>
      <c r="C150" s="17" t="str">
        <f>'Tabla_Ocurrencia Insideo'!A147</f>
        <v>2.0 - 2.5</v>
      </c>
      <c r="D150" s="17" t="str">
        <f>'Tabla_Ocurrencia Insideo'!B147</f>
        <v>14.0 - 17.0</v>
      </c>
      <c r="E150" s="17">
        <f>'Tabla_Ocurrencia Insideo'!H147</f>
        <v>304.36842105263099</v>
      </c>
      <c r="F150" s="17">
        <f>'Tabla_Ocurrencia Insideo'!F147</f>
        <v>2.0510526315789401</v>
      </c>
      <c r="G150" s="17">
        <f>'Tabla_Ocurrencia Insideo'!G147</f>
        <v>16.386315789473599</v>
      </c>
      <c r="H150" s="18">
        <f>'Tabla_Ocurrencia Insideo'!I147</f>
        <v>4.7473177654625139E-5</v>
      </c>
      <c r="I150" s="19">
        <f>'Tabla_Ocurrencia Insideo'!J147</f>
        <v>1.7327709843938176E-2</v>
      </c>
    </row>
    <row r="151" spans="1:9" ht="15.6" x14ac:dyDescent="0.3">
      <c r="A151" s="16" t="str">
        <f>'Tabla_Ocurrencia Insideo'!C148</f>
        <v>SSW</v>
      </c>
      <c r="B151" s="17" t="str">
        <f>'Tabla_Ocurrencia Insideo'!D148</f>
        <v>191,25° – 213,75°</v>
      </c>
      <c r="C151" s="17" t="str">
        <f>'Tabla_Ocurrencia Insideo'!A148</f>
        <v>1.5 - 2.0</v>
      </c>
      <c r="D151" s="17" t="str">
        <f>'Tabla_Ocurrencia Insideo'!B148</f>
        <v>2.0 - 5.0</v>
      </c>
      <c r="E151" s="17">
        <f>'Tabla_Ocurrencia Insideo'!H148</f>
        <v>210.5</v>
      </c>
      <c r="F151" s="17">
        <f>'Tabla_Ocurrencia Insideo'!F148</f>
        <v>1.8938888888888801</v>
      </c>
      <c r="G151" s="17">
        <f>'Tabla_Ocurrencia Insideo'!G148</f>
        <v>4.17</v>
      </c>
      <c r="H151" s="18">
        <f>'Tabla_Ocurrencia Insideo'!I148</f>
        <v>4.4974589357013286E-5</v>
      </c>
      <c r="I151" s="19">
        <f>'Tabla_Ocurrencia Insideo'!J148</f>
        <v>1.6415725115309851E-2</v>
      </c>
    </row>
    <row r="152" spans="1:9" ht="15.6" x14ac:dyDescent="0.3">
      <c r="A152" s="16" t="str">
        <f>'Tabla_Ocurrencia Insideo'!C149</f>
        <v>SSE</v>
      </c>
      <c r="B152" s="17" t="str">
        <f>'Tabla_Ocurrencia Insideo'!D149</f>
        <v>146,25° – 168,75°</v>
      </c>
      <c r="C152" s="17" t="str">
        <f>'Tabla_Ocurrencia Insideo'!A149</f>
        <v>1.5 - 2.0</v>
      </c>
      <c r="D152" s="17" t="str">
        <f>'Tabla_Ocurrencia Insideo'!B149</f>
        <v>14.0 - 17.0</v>
      </c>
      <c r="E152" s="17">
        <f>'Tabla_Ocurrencia Insideo'!H149</f>
        <v>162.444444444444</v>
      </c>
      <c r="F152" s="17">
        <f>'Tabla_Ocurrencia Insideo'!F149</f>
        <v>1.86777777777777</v>
      </c>
      <c r="G152" s="17">
        <f>'Tabla_Ocurrencia Insideo'!G149</f>
        <v>15.899999999999901</v>
      </c>
      <c r="H152" s="18">
        <f>'Tabla_Ocurrencia Insideo'!I149</f>
        <v>4.4974589357013286E-5</v>
      </c>
      <c r="I152" s="19">
        <f>'Tabla_Ocurrencia Insideo'!J149</f>
        <v>1.6415725115309851E-2</v>
      </c>
    </row>
    <row r="153" spans="1:9" ht="15.6" x14ac:dyDescent="0.3">
      <c r="A153" s="16" t="str">
        <f>'Tabla_Ocurrencia Insideo'!C150</f>
        <v>SW</v>
      </c>
      <c r="B153" s="17" t="str">
        <f>'Tabla_Ocurrencia Insideo'!D150</f>
        <v>213,75° – 236,25°</v>
      </c>
      <c r="C153" s="17" t="str">
        <f>'Tabla_Ocurrencia Insideo'!A150</f>
        <v>2.0 - 2.5</v>
      </c>
      <c r="D153" s="17" t="str">
        <f>'Tabla_Ocurrencia Insideo'!B150</f>
        <v>8.0 - 11.0</v>
      </c>
      <c r="E153" s="17">
        <f>'Tabla_Ocurrencia Insideo'!H150</f>
        <v>224.611111111111</v>
      </c>
      <c r="F153" s="17">
        <f>'Tabla_Ocurrencia Insideo'!F150</f>
        <v>2.0805555555555499</v>
      </c>
      <c r="G153" s="17">
        <f>'Tabla_Ocurrencia Insideo'!G150</f>
        <v>10.99</v>
      </c>
      <c r="H153" s="18">
        <f>'Tabla_Ocurrencia Insideo'!I150</f>
        <v>4.4974589357013286E-5</v>
      </c>
      <c r="I153" s="19">
        <f>'Tabla_Ocurrencia Insideo'!J150</f>
        <v>1.6415725115309851E-2</v>
      </c>
    </row>
    <row r="154" spans="1:9" ht="15.6" x14ac:dyDescent="0.3">
      <c r="A154" s="16" t="str">
        <f>'Tabla_Ocurrencia Insideo'!C151</f>
        <v>SSW</v>
      </c>
      <c r="B154" s="17" t="str">
        <f>'Tabla_Ocurrencia Insideo'!D151</f>
        <v>191,25° – 213,75°</v>
      </c>
      <c r="C154" s="17" t="str">
        <f>'Tabla_Ocurrencia Insideo'!A151</f>
        <v>0.5 - 1.0</v>
      </c>
      <c r="D154" s="17" t="str">
        <f>'Tabla_Ocurrencia Insideo'!B151</f>
        <v>5.0 - 8.0</v>
      </c>
      <c r="E154" s="17">
        <f>'Tabla_Ocurrencia Insideo'!H151</f>
        <v>196.35294117647001</v>
      </c>
      <c r="F154" s="17">
        <f>'Tabla_Ocurrencia Insideo'!F151</f>
        <v>0.56470588235294095</v>
      </c>
      <c r="G154" s="17">
        <f>'Tabla_Ocurrencia Insideo'!G151</f>
        <v>6.1458823529411699</v>
      </c>
      <c r="H154" s="18">
        <f>'Tabla_Ocurrencia Insideo'!I151</f>
        <v>4.2476001059401439E-5</v>
      </c>
      <c r="I154" s="19">
        <f>'Tabla_Ocurrencia Insideo'!J151</f>
        <v>1.5503740386681526E-2</v>
      </c>
    </row>
    <row r="155" spans="1:9" ht="15.6" x14ac:dyDescent="0.3">
      <c r="A155" s="16" t="str">
        <f>'Tabla_Ocurrencia Insideo'!C152</f>
        <v>WNW</v>
      </c>
      <c r="B155" s="17" t="str">
        <f>'Tabla_Ocurrencia Insideo'!D152</f>
        <v>281,25° – 303,75°</v>
      </c>
      <c r="C155" s="17" t="str">
        <f>'Tabla_Ocurrencia Insideo'!A152</f>
        <v>1.0 - 1.5</v>
      </c>
      <c r="D155" s="17" t="str">
        <f>'Tabla_Ocurrencia Insideo'!B152</f>
        <v>23.0 - 26.0</v>
      </c>
      <c r="E155" s="17">
        <f>'Tabla_Ocurrencia Insideo'!H152</f>
        <v>303</v>
      </c>
      <c r="F155" s="17">
        <f>'Tabla_Ocurrencia Insideo'!F152</f>
        <v>1.348125</v>
      </c>
      <c r="G155" s="17">
        <f>'Tabla_Ocurrencia Insideo'!G152</f>
        <v>23.569375000000001</v>
      </c>
      <c r="H155" s="18">
        <f>'Tabla_Ocurrencia Insideo'!I152</f>
        <v>3.9977412761789592E-5</v>
      </c>
      <c r="I155" s="19">
        <f>'Tabla_Ocurrencia Insideo'!J152</f>
        <v>1.45917556580532E-2</v>
      </c>
    </row>
    <row r="156" spans="1:9" ht="15.6" x14ac:dyDescent="0.3">
      <c r="A156" s="16" t="str">
        <f>'Tabla_Ocurrencia Insideo'!C153</f>
        <v>SSW</v>
      </c>
      <c r="B156" s="17" t="str">
        <f>'Tabla_Ocurrencia Insideo'!D153</f>
        <v>191,25° – 213,75°</v>
      </c>
      <c r="C156" s="17" t="str">
        <f>'Tabla_Ocurrencia Insideo'!A153</f>
        <v>2.0 - 2.5</v>
      </c>
      <c r="D156" s="17" t="str">
        <f>'Tabla_Ocurrencia Insideo'!B153</f>
        <v>2.0 - 5.0</v>
      </c>
      <c r="E156" s="17">
        <f>'Tabla_Ocurrencia Insideo'!H153</f>
        <v>209.933333333333</v>
      </c>
      <c r="F156" s="17">
        <f>'Tabla_Ocurrencia Insideo'!F153</f>
        <v>2.06866666666666</v>
      </c>
      <c r="G156" s="17">
        <f>'Tabla_Ocurrencia Insideo'!G153</f>
        <v>4.3159999999999998</v>
      </c>
      <c r="H156" s="18">
        <f>'Tabla_Ocurrencia Insideo'!I153</f>
        <v>3.7478824464177738E-5</v>
      </c>
      <c r="I156" s="19">
        <f>'Tabla_Ocurrencia Insideo'!J153</f>
        <v>1.3679770929424875E-2</v>
      </c>
    </row>
    <row r="157" spans="1:9" ht="15.6" x14ac:dyDescent="0.3">
      <c r="A157" s="16" t="str">
        <f>'Tabla_Ocurrencia Insideo'!C154</f>
        <v>SSE</v>
      </c>
      <c r="B157" s="17" t="str">
        <f>'Tabla_Ocurrencia Insideo'!D154</f>
        <v>146,25° – 168,75°</v>
      </c>
      <c r="C157" s="17" t="str">
        <f>'Tabla_Ocurrencia Insideo'!A154</f>
        <v>0.5 - 1.0</v>
      </c>
      <c r="D157" s="17" t="str">
        <f>'Tabla_Ocurrencia Insideo'!B154</f>
        <v>2.0 - 5.0</v>
      </c>
      <c r="E157" s="17">
        <f>'Tabla_Ocurrencia Insideo'!H154</f>
        <v>165.57142857142799</v>
      </c>
      <c r="F157" s="17">
        <f>'Tabla_Ocurrencia Insideo'!F154</f>
        <v>0.68214285714285705</v>
      </c>
      <c r="G157" s="17">
        <f>'Tabla_Ocurrencia Insideo'!G154</f>
        <v>3.91785714285714</v>
      </c>
      <c r="H157" s="18">
        <f>'Tabla_Ocurrencia Insideo'!I154</f>
        <v>3.4980236166565891E-5</v>
      </c>
      <c r="I157" s="19">
        <f>'Tabla_Ocurrencia Insideo'!J154</f>
        <v>1.2767786200796549E-2</v>
      </c>
    </row>
    <row r="158" spans="1:9" ht="15.6" x14ac:dyDescent="0.3">
      <c r="A158" s="16" t="str">
        <f>'Tabla_Ocurrencia Insideo'!C155</f>
        <v>SW</v>
      </c>
      <c r="B158" s="17" t="str">
        <f>'Tabla_Ocurrencia Insideo'!D155</f>
        <v>213,75° – 236,25°</v>
      </c>
      <c r="C158" s="17" t="str">
        <f>'Tabla_Ocurrencia Insideo'!A155</f>
        <v>3.5 - 4.0</v>
      </c>
      <c r="D158" s="17" t="str">
        <f>'Tabla_Ocurrencia Insideo'!B155</f>
        <v>20.0 - 23.0</v>
      </c>
      <c r="E158" s="17">
        <f>'Tabla_Ocurrencia Insideo'!H155</f>
        <v>216.42857142857099</v>
      </c>
      <c r="F158" s="17">
        <f>'Tabla_Ocurrencia Insideo'!F155</f>
        <v>3.7407142857142799</v>
      </c>
      <c r="G158" s="17">
        <f>'Tabla_Ocurrencia Insideo'!G155</f>
        <v>20.777857142857101</v>
      </c>
      <c r="H158" s="18">
        <f>'Tabla_Ocurrencia Insideo'!I155</f>
        <v>3.4980236166565891E-5</v>
      </c>
      <c r="I158" s="19">
        <f>'Tabla_Ocurrencia Insideo'!J155</f>
        <v>1.2767786200796549E-2</v>
      </c>
    </row>
    <row r="159" spans="1:9" ht="15.6" x14ac:dyDescent="0.3">
      <c r="A159" s="16" t="str">
        <f>'Tabla_Ocurrencia Insideo'!C156</f>
        <v>WNW</v>
      </c>
      <c r="B159" s="17" t="str">
        <f>'Tabla_Ocurrencia Insideo'!D156</f>
        <v>281,25° – 303,75°</v>
      </c>
      <c r="C159" s="17" t="str">
        <f>'Tabla_Ocurrencia Insideo'!A156</f>
        <v>1.5 - 2.0</v>
      </c>
      <c r="D159" s="17" t="str">
        <f>'Tabla_Ocurrencia Insideo'!B156</f>
        <v>11.0 - 14.0</v>
      </c>
      <c r="E159" s="17">
        <f>'Tabla_Ocurrencia Insideo'!H156</f>
        <v>293.76923076922998</v>
      </c>
      <c r="F159" s="17">
        <f>'Tabla_Ocurrencia Insideo'!F156</f>
        <v>1.5930769230769199</v>
      </c>
      <c r="G159" s="17">
        <f>'Tabla_Ocurrencia Insideo'!G156</f>
        <v>12.674615384615301</v>
      </c>
      <c r="H159" s="18">
        <f>'Tabla_Ocurrencia Insideo'!I156</f>
        <v>3.2481647868954044E-5</v>
      </c>
      <c r="I159" s="19">
        <f>'Tabla_Ocurrencia Insideo'!J156</f>
        <v>1.1855801472168226E-2</v>
      </c>
    </row>
    <row r="160" spans="1:9" ht="15.6" x14ac:dyDescent="0.3">
      <c r="A160" s="16" t="str">
        <f>'Tabla_Ocurrencia Insideo'!C157</f>
        <v>SSW</v>
      </c>
      <c r="B160" s="17" t="str">
        <f>'Tabla_Ocurrencia Insideo'!D157</f>
        <v>191,25° – 213,75°</v>
      </c>
      <c r="C160" s="17" t="str">
        <f>'Tabla_Ocurrencia Insideo'!A157</f>
        <v>1.5 - 2.0</v>
      </c>
      <c r="D160" s="17" t="str">
        <f>'Tabla_Ocurrencia Insideo'!B157</f>
        <v>23.0 - 26.0</v>
      </c>
      <c r="E160" s="17">
        <f>'Tabla_Ocurrencia Insideo'!H157</f>
        <v>211.53846153846101</v>
      </c>
      <c r="F160" s="17">
        <f>'Tabla_Ocurrencia Insideo'!F157</f>
        <v>1.85307692307692</v>
      </c>
      <c r="G160" s="17">
        <f>'Tabla_Ocurrencia Insideo'!G157</f>
        <v>23.640769230769202</v>
      </c>
      <c r="H160" s="18">
        <f>'Tabla_Ocurrencia Insideo'!I157</f>
        <v>3.2481647868954044E-5</v>
      </c>
      <c r="I160" s="19">
        <f>'Tabla_Ocurrencia Insideo'!J157</f>
        <v>1.1855801472168226E-2</v>
      </c>
    </row>
    <row r="161" spans="1:9" ht="15.6" x14ac:dyDescent="0.3">
      <c r="A161" s="16" t="str">
        <f>'Tabla_Ocurrencia Insideo'!C158</f>
        <v>S</v>
      </c>
      <c r="B161" s="17" t="str">
        <f>'Tabla_Ocurrencia Insideo'!D158</f>
        <v>168,75° – 191,25°</v>
      </c>
      <c r="C161" s="17" t="str">
        <f>'Tabla_Ocurrencia Insideo'!A158</f>
        <v>2.5 - 3.0</v>
      </c>
      <c r="D161" s="17" t="str">
        <f>'Tabla_Ocurrencia Insideo'!B158</f>
        <v>20.0 - 23.0</v>
      </c>
      <c r="E161" s="17">
        <f>'Tabla_Ocurrencia Insideo'!H158</f>
        <v>189.230769230769</v>
      </c>
      <c r="F161" s="17">
        <f>'Tabla_Ocurrencia Insideo'!F158</f>
        <v>2.76461538461538</v>
      </c>
      <c r="G161" s="17">
        <f>'Tabla_Ocurrencia Insideo'!G158</f>
        <v>21.2992307692307</v>
      </c>
      <c r="H161" s="18">
        <f>'Tabla_Ocurrencia Insideo'!I158</f>
        <v>3.2481647868954044E-5</v>
      </c>
      <c r="I161" s="19">
        <f>'Tabla_Ocurrencia Insideo'!J158</f>
        <v>1.1855801472168226E-2</v>
      </c>
    </row>
    <row r="162" spans="1:9" ht="15.6" x14ac:dyDescent="0.3">
      <c r="A162" s="16" t="str">
        <f>'Tabla_Ocurrencia Insideo'!C159</f>
        <v>WSW</v>
      </c>
      <c r="B162" s="17" t="str">
        <f>'Tabla_Ocurrencia Insideo'!D159</f>
        <v>236,25° – 258,75°</v>
      </c>
      <c r="C162" s="17" t="str">
        <f>'Tabla_Ocurrencia Insideo'!A159</f>
        <v>3.0 - 3.5</v>
      </c>
      <c r="D162" s="17" t="str">
        <f>'Tabla_Ocurrencia Insideo'!B159</f>
        <v>14.0 - 17.0</v>
      </c>
      <c r="E162" s="17">
        <f>'Tabla_Ocurrencia Insideo'!H159</f>
        <v>238</v>
      </c>
      <c r="F162" s="17">
        <f>'Tabla_Ocurrencia Insideo'!F159</f>
        <v>3.17</v>
      </c>
      <c r="G162" s="17">
        <f>'Tabla_Ocurrencia Insideo'!G159</f>
        <v>16.154615384615301</v>
      </c>
      <c r="H162" s="18">
        <f>'Tabla_Ocurrencia Insideo'!I159</f>
        <v>3.2481647868954044E-5</v>
      </c>
      <c r="I162" s="19">
        <f>'Tabla_Ocurrencia Insideo'!J159</f>
        <v>1.1855801472168226E-2</v>
      </c>
    </row>
    <row r="163" spans="1:9" ht="15.6" x14ac:dyDescent="0.3">
      <c r="A163" s="16" t="str">
        <f>'Tabla_Ocurrencia Insideo'!C160</f>
        <v>SSW</v>
      </c>
      <c r="B163" s="17" t="str">
        <f>'Tabla_Ocurrencia Insideo'!D160</f>
        <v>191,25° – 213,75°</v>
      </c>
      <c r="C163" s="17" t="str">
        <f>'Tabla_Ocurrencia Insideo'!A160</f>
        <v>2.0 - 2.5</v>
      </c>
      <c r="D163" s="17" t="str">
        <f>'Tabla_Ocurrencia Insideo'!B160</f>
        <v>23.0 - 26.0</v>
      </c>
      <c r="E163" s="17">
        <f>'Tabla_Ocurrencia Insideo'!H160</f>
        <v>208.916666666666</v>
      </c>
      <c r="F163" s="17">
        <f>'Tabla_Ocurrencia Insideo'!F160</f>
        <v>2.1933333333333298</v>
      </c>
      <c r="G163" s="17">
        <f>'Tabla_Ocurrencia Insideo'!G160</f>
        <v>23.3058333333333</v>
      </c>
      <c r="H163" s="18">
        <f>'Tabla_Ocurrencia Insideo'!I160</f>
        <v>2.998305957134219E-5</v>
      </c>
      <c r="I163" s="19">
        <f>'Tabla_Ocurrencia Insideo'!J160</f>
        <v>1.09438167435399E-2</v>
      </c>
    </row>
    <row r="164" spans="1:9" ht="15.6" x14ac:dyDescent="0.3">
      <c r="A164" s="16" t="str">
        <f>'Tabla_Ocurrencia Insideo'!C161</f>
        <v>S</v>
      </c>
      <c r="B164" s="17" t="str">
        <f>'Tabla_Ocurrencia Insideo'!D161</f>
        <v>168,75° – 191,25°</v>
      </c>
      <c r="C164" s="17" t="str">
        <f>'Tabla_Ocurrencia Insideo'!A161</f>
        <v>3.0 - 3.5</v>
      </c>
      <c r="D164" s="17" t="str">
        <f>'Tabla_Ocurrencia Insideo'!B161</f>
        <v>17.0 - 20.0</v>
      </c>
      <c r="E164" s="17">
        <f>'Tabla_Ocurrencia Insideo'!H161</f>
        <v>189.833333333333</v>
      </c>
      <c r="F164" s="17">
        <f>'Tabla_Ocurrencia Insideo'!F161</f>
        <v>3.07499999999999</v>
      </c>
      <c r="G164" s="17">
        <f>'Tabla_Ocurrencia Insideo'!G161</f>
        <v>17.6658333333333</v>
      </c>
      <c r="H164" s="18">
        <f>'Tabla_Ocurrencia Insideo'!I161</f>
        <v>2.998305957134219E-5</v>
      </c>
      <c r="I164" s="19">
        <f>'Tabla_Ocurrencia Insideo'!J161</f>
        <v>1.09438167435399E-2</v>
      </c>
    </row>
    <row r="165" spans="1:9" ht="15.6" x14ac:dyDescent="0.3">
      <c r="A165" s="16" t="str">
        <f>'Tabla_Ocurrencia Insideo'!C162</f>
        <v>SW</v>
      </c>
      <c r="B165" s="17" t="str">
        <f>'Tabla_Ocurrencia Insideo'!D162</f>
        <v>213,75° – 236,25°</v>
      </c>
      <c r="C165" s="17" t="str">
        <f>'Tabla_Ocurrencia Insideo'!A162</f>
        <v>2.0 - 2.5</v>
      </c>
      <c r="D165" s="17" t="str">
        <f>'Tabla_Ocurrencia Insideo'!B162</f>
        <v>5.0 - 8.0</v>
      </c>
      <c r="E165" s="17">
        <f>'Tabla_Ocurrencia Insideo'!H162</f>
        <v>221</v>
      </c>
      <c r="F165" s="17">
        <f>'Tabla_Ocurrencia Insideo'!F162</f>
        <v>2.1263636363636298</v>
      </c>
      <c r="G165" s="17">
        <f>'Tabla_Ocurrencia Insideo'!G162</f>
        <v>6.1845454545454501</v>
      </c>
      <c r="H165" s="18">
        <f>'Tabla_Ocurrencia Insideo'!I162</f>
        <v>2.7484471273730343E-5</v>
      </c>
      <c r="I165" s="19">
        <f>'Tabla_Ocurrencia Insideo'!J162</f>
        <v>1.0031832014911575E-2</v>
      </c>
    </row>
    <row r="166" spans="1:9" ht="15.6" x14ac:dyDescent="0.3">
      <c r="A166" s="16" t="str">
        <f>'Tabla_Ocurrencia Insideo'!C163</f>
        <v>NW</v>
      </c>
      <c r="B166" s="17" t="str">
        <f>'Tabla_Ocurrencia Insideo'!D163</f>
        <v>303,75° – 326,25°</v>
      </c>
      <c r="C166" s="17" t="str">
        <f>'Tabla_Ocurrencia Insideo'!A163</f>
        <v>2.5 - 3.0</v>
      </c>
      <c r="D166" s="17" t="str">
        <f>'Tabla_Ocurrencia Insideo'!B163</f>
        <v>17.0 - 20.0</v>
      </c>
      <c r="E166" s="17">
        <f>'Tabla_Ocurrencia Insideo'!H163</f>
        <v>304</v>
      </c>
      <c r="F166" s="17">
        <f>'Tabla_Ocurrencia Insideo'!F163</f>
        <v>2.5419999999999998</v>
      </c>
      <c r="G166" s="17">
        <f>'Tabla_Ocurrencia Insideo'!G163</f>
        <v>19.419999999999899</v>
      </c>
      <c r="H166" s="18">
        <f>'Tabla_Ocurrencia Insideo'!I163</f>
        <v>2.4985882976118493E-5</v>
      </c>
      <c r="I166" s="19">
        <f>'Tabla_Ocurrencia Insideo'!J163</f>
        <v>9.1198472862832492E-3</v>
      </c>
    </row>
    <row r="167" spans="1:9" ht="15.6" x14ac:dyDescent="0.3">
      <c r="A167" s="16" t="str">
        <f>'Tabla_Ocurrencia Insideo'!C164</f>
        <v>SSW</v>
      </c>
      <c r="B167" s="17" t="str">
        <f>'Tabla_Ocurrencia Insideo'!D164</f>
        <v>191,25° – 213,75°</v>
      </c>
      <c r="C167" s="17" t="str">
        <f>'Tabla_Ocurrencia Insideo'!A164</f>
        <v>2.5 - 3.0</v>
      </c>
      <c r="D167" s="17" t="str">
        <f>'Tabla_Ocurrencia Insideo'!B164</f>
        <v>23.0 - 26.0</v>
      </c>
      <c r="E167" s="17">
        <f>'Tabla_Ocurrencia Insideo'!H164</f>
        <v>206.7</v>
      </c>
      <c r="F167" s="17">
        <f>'Tabla_Ocurrencia Insideo'!F164</f>
        <v>2.7649999999999899</v>
      </c>
      <c r="G167" s="17">
        <f>'Tabla_Ocurrencia Insideo'!G164</f>
        <v>23.26</v>
      </c>
      <c r="H167" s="18">
        <f>'Tabla_Ocurrencia Insideo'!I164</f>
        <v>2.4985882976118493E-5</v>
      </c>
      <c r="I167" s="19">
        <f>'Tabla_Ocurrencia Insideo'!J164</f>
        <v>9.1198472862832492E-3</v>
      </c>
    </row>
    <row r="168" spans="1:9" ht="15.6" x14ac:dyDescent="0.3">
      <c r="A168" s="16" t="str">
        <f>'Tabla_Ocurrencia Insideo'!C165</f>
        <v>W</v>
      </c>
      <c r="B168" s="17" t="str">
        <f>'Tabla_Ocurrencia Insideo'!D165</f>
        <v>258,75° – 281,25°</v>
      </c>
      <c r="C168" s="17" t="str">
        <f>'Tabla_Ocurrencia Insideo'!A165</f>
        <v>2.0 - 2.5</v>
      </c>
      <c r="D168" s="17" t="str">
        <f>'Tabla_Ocurrencia Insideo'!B165</f>
        <v>20.0 - 23.0</v>
      </c>
      <c r="E168" s="17">
        <f>'Tabla_Ocurrencia Insideo'!H165</f>
        <v>270.444444444444</v>
      </c>
      <c r="F168" s="17">
        <f>'Tabla_Ocurrencia Insideo'!F165</f>
        <v>2.1855555555555499</v>
      </c>
      <c r="G168" s="17">
        <f>'Tabla_Ocurrencia Insideo'!G165</f>
        <v>21.08</v>
      </c>
      <c r="H168" s="18">
        <f>'Tabla_Ocurrencia Insideo'!I165</f>
        <v>2.2487294678506643E-5</v>
      </c>
      <c r="I168" s="19">
        <f>'Tabla_Ocurrencia Insideo'!J165</f>
        <v>8.2078625576549255E-3</v>
      </c>
    </row>
    <row r="169" spans="1:9" ht="15.6" x14ac:dyDescent="0.3">
      <c r="A169" s="16" t="str">
        <f>'Tabla_Ocurrencia Insideo'!C166</f>
        <v>S</v>
      </c>
      <c r="B169" s="17" t="str">
        <f>'Tabla_Ocurrencia Insideo'!D166</f>
        <v>168,75° – 191,25°</v>
      </c>
      <c r="C169" s="17" t="str">
        <f>'Tabla_Ocurrencia Insideo'!A166</f>
        <v>2.0 - 2.5</v>
      </c>
      <c r="D169" s="17" t="str">
        <f>'Tabla_Ocurrencia Insideo'!B166</f>
        <v>23.0 - 26.0</v>
      </c>
      <c r="E169" s="17">
        <f>'Tabla_Ocurrencia Insideo'!H166</f>
        <v>188.444444444444</v>
      </c>
      <c r="F169" s="17">
        <f>'Tabla_Ocurrencia Insideo'!F166</f>
        <v>2.2211111111111101</v>
      </c>
      <c r="G169" s="17">
        <f>'Tabla_Ocurrencia Insideo'!G166</f>
        <v>23.565555555555498</v>
      </c>
      <c r="H169" s="18">
        <f>'Tabla_Ocurrencia Insideo'!I166</f>
        <v>2.2487294678506643E-5</v>
      </c>
      <c r="I169" s="19">
        <f>'Tabla_Ocurrencia Insideo'!J166</f>
        <v>8.2078625576549255E-3</v>
      </c>
    </row>
    <row r="170" spans="1:9" ht="15.6" x14ac:dyDescent="0.3">
      <c r="A170" s="16" t="str">
        <f>'Tabla_Ocurrencia Insideo'!C167</f>
        <v>S</v>
      </c>
      <c r="B170" s="17" t="str">
        <f>'Tabla_Ocurrencia Insideo'!D167</f>
        <v>168,75° – 191,25°</v>
      </c>
      <c r="C170" s="17" t="str">
        <f>'Tabla_Ocurrencia Insideo'!A167</f>
        <v>4.0 - 4.5</v>
      </c>
      <c r="D170" s="17" t="str">
        <f>'Tabla_Ocurrencia Insideo'!B167</f>
        <v>11.0 - 14.0</v>
      </c>
      <c r="E170" s="17">
        <f>'Tabla_Ocurrencia Insideo'!H167</f>
        <v>179.111111111111</v>
      </c>
      <c r="F170" s="17">
        <f>'Tabla_Ocurrencia Insideo'!F167</f>
        <v>4.2399999999999904</v>
      </c>
      <c r="G170" s="17">
        <f>'Tabla_Ocurrencia Insideo'!G167</f>
        <v>11.4366666666666</v>
      </c>
      <c r="H170" s="18">
        <f>'Tabla_Ocurrencia Insideo'!I167</f>
        <v>2.2487294678506643E-5</v>
      </c>
      <c r="I170" s="19">
        <f>'Tabla_Ocurrencia Insideo'!J167</f>
        <v>8.2078625576549255E-3</v>
      </c>
    </row>
    <row r="171" spans="1:9" ht="15.6" x14ac:dyDescent="0.3">
      <c r="A171" s="16" t="str">
        <f>'Tabla_Ocurrencia Insideo'!C168</f>
        <v>SW</v>
      </c>
      <c r="B171" s="17" t="str">
        <f>'Tabla_Ocurrencia Insideo'!D168</f>
        <v>213,75° – 236,25°</v>
      </c>
      <c r="C171" s="17" t="str">
        <f>'Tabla_Ocurrencia Insideo'!A168</f>
        <v>4.5 - 5.0</v>
      </c>
      <c r="D171" s="17" t="str">
        <f>'Tabla_Ocurrencia Insideo'!B168</f>
        <v>17.0 - 20.0</v>
      </c>
      <c r="E171" s="17">
        <f>'Tabla_Ocurrencia Insideo'!H168</f>
        <v>218.111111111111</v>
      </c>
      <c r="F171" s="17">
        <f>'Tabla_Ocurrencia Insideo'!F168</f>
        <v>4.5644444444444403</v>
      </c>
      <c r="G171" s="17">
        <f>'Tabla_Ocurrencia Insideo'!G168</f>
        <v>18.685555555555499</v>
      </c>
      <c r="H171" s="18">
        <f>'Tabla_Ocurrencia Insideo'!I168</f>
        <v>2.2487294678506643E-5</v>
      </c>
      <c r="I171" s="19">
        <f>'Tabla_Ocurrencia Insideo'!J168</f>
        <v>8.2078625576549255E-3</v>
      </c>
    </row>
    <row r="172" spans="1:9" ht="15.6" x14ac:dyDescent="0.3">
      <c r="A172" s="16" t="str">
        <f>'Tabla_Ocurrencia Insideo'!C169</f>
        <v>WNW</v>
      </c>
      <c r="B172" s="17" t="str">
        <f>'Tabla_Ocurrencia Insideo'!D169</f>
        <v>281,25° – 303,75°</v>
      </c>
      <c r="C172" s="17" t="str">
        <f>'Tabla_Ocurrencia Insideo'!A169</f>
        <v>2.0 - 2.5</v>
      </c>
      <c r="D172" s="17" t="str">
        <f>'Tabla_Ocurrencia Insideo'!B169</f>
        <v>23.0 - 26.0</v>
      </c>
      <c r="E172" s="17">
        <f>'Tabla_Ocurrencia Insideo'!H169</f>
        <v>303</v>
      </c>
      <c r="F172" s="17">
        <f>'Tabla_Ocurrencia Insideo'!F169</f>
        <v>2.0724999999999998</v>
      </c>
      <c r="G172" s="17">
        <f>'Tabla_Ocurrencia Insideo'!G169</f>
        <v>23.397500000000001</v>
      </c>
      <c r="H172" s="18">
        <f>'Tabla_Ocurrencia Insideo'!I169</f>
        <v>1.9988706380894796E-5</v>
      </c>
      <c r="I172" s="19">
        <f>'Tabla_Ocurrencia Insideo'!J169</f>
        <v>7.2958778290266001E-3</v>
      </c>
    </row>
    <row r="173" spans="1:9" ht="15.6" x14ac:dyDescent="0.3">
      <c r="A173" s="16" t="str">
        <f>'Tabla_Ocurrencia Insideo'!C170</f>
        <v>SSW</v>
      </c>
      <c r="B173" s="17" t="str">
        <f>'Tabla_Ocurrencia Insideo'!D170</f>
        <v>191,25° – 213,75°</v>
      </c>
      <c r="C173" s="17" t="str">
        <f>'Tabla_Ocurrencia Insideo'!A170</f>
        <v>3.0 - 3.5</v>
      </c>
      <c r="D173" s="17" t="str">
        <f>'Tabla_Ocurrencia Insideo'!B170</f>
        <v>23.0 - 26.0</v>
      </c>
      <c r="E173" s="17">
        <f>'Tabla_Ocurrencia Insideo'!H170</f>
        <v>210.25</v>
      </c>
      <c r="F173" s="17">
        <f>'Tabla_Ocurrencia Insideo'!F170</f>
        <v>3.1825000000000001</v>
      </c>
      <c r="G173" s="17">
        <f>'Tabla_Ocurrencia Insideo'!G170</f>
        <v>23.466249999999999</v>
      </c>
      <c r="H173" s="18">
        <f>'Tabla_Ocurrencia Insideo'!I170</f>
        <v>1.9988706380894796E-5</v>
      </c>
      <c r="I173" s="19">
        <f>'Tabla_Ocurrencia Insideo'!J170</f>
        <v>7.2958778290266001E-3</v>
      </c>
    </row>
    <row r="174" spans="1:9" ht="15.6" x14ac:dyDescent="0.3">
      <c r="A174" s="16" t="str">
        <f>'Tabla_Ocurrencia Insideo'!C171</f>
        <v>S</v>
      </c>
      <c r="B174" s="17" t="str">
        <f>'Tabla_Ocurrencia Insideo'!D171</f>
        <v>168,75° – 191,25°</v>
      </c>
      <c r="C174" s="17" t="str">
        <f>'Tabla_Ocurrencia Insideo'!A171</f>
        <v>1.5 - 2.0</v>
      </c>
      <c r="D174" s="17" t="str">
        <f>'Tabla_Ocurrencia Insideo'!B171</f>
        <v>20.0 - 23.0</v>
      </c>
      <c r="E174" s="17">
        <f>'Tabla_Ocurrencia Insideo'!H171</f>
        <v>187.28571428571399</v>
      </c>
      <c r="F174" s="17">
        <f>'Tabla_Ocurrencia Insideo'!F171</f>
        <v>1.5685714285714201</v>
      </c>
      <c r="G174" s="17">
        <f>'Tabla_Ocurrencia Insideo'!G171</f>
        <v>20.8442857142857</v>
      </c>
      <c r="H174" s="18">
        <f>'Tabla_Ocurrencia Insideo'!I171</f>
        <v>1.7490118083282946E-5</v>
      </c>
      <c r="I174" s="19">
        <f>'Tabla_Ocurrencia Insideo'!J171</f>
        <v>6.3838931003982746E-3</v>
      </c>
    </row>
    <row r="175" spans="1:9" ht="15.6" x14ac:dyDescent="0.3">
      <c r="A175" s="16" t="str">
        <f>'Tabla_Ocurrencia Insideo'!C172</f>
        <v>S</v>
      </c>
      <c r="B175" s="17" t="str">
        <f>'Tabla_Ocurrencia Insideo'!D172</f>
        <v>168,75° – 191,25°</v>
      </c>
      <c r="C175" s="17" t="str">
        <f>'Tabla_Ocurrencia Insideo'!A172</f>
        <v>3.5 - 4.0</v>
      </c>
      <c r="D175" s="17" t="str">
        <f>'Tabla_Ocurrencia Insideo'!B172</f>
        <v>14.0 - 17.0</v>
      </c>
      <c r="E175" s="17">
        <f>'Tabla_Ocurrencia Insideo'!H172</f>
        <v>187.57142857142799</v>
      </c>
      <c r="F175" s="17">
        <f>'Tabla_Ocurrencia Insideo'!F172</f>
        <v>3.51</v>
      </c>
      <c r="G175" s="17">
        <f>'Tabla_Ocurrencia Insideo'!G172</f>
        <v>15.3585714285714</v>
      </c>
      <c r="H175" s="18">
        <f>'Tabla_Ocurrencia Insideo'!I172</f>
        <v>1.7490118083282946E-5</v>
      </c>
      <c r="I175" s="19">
        <f>'Tabla_Ocurrencia Insideo'!J172</f>
        <v>6.3838931003982746E-3</v>
      </c>
    </row>
    <row r="176" spans="1:9" ht="15.6" x14ac:dyDescent="0.3">
      <c r="A176" s="16" t="str">
        <f>'Tabla_Ocurrencia Insideo'!C173</f>
        <v>S</v>
      </c>
      <c r="B176" s="17" t="str">
        <f>'Tabla_Ocurrencia Insideo'!D173</f>
        <v>168,75° – 191,25°</v>
      </c>
      <c r="C176" s="17" t="str">
        <f>'Tabla_Ocurrencia Insideo'!A173</f>
        <v>4.5 - 5.0</v>
      </c>
      <c r="D176" s="17" t="str">
        <f>'Tabla_Ocurrencia Insideo'!B173</f>
        <v>11.0 - 14.0</v>
      </c>
      <c r="E176" s="17">
        <f>'Tabla_Ocurrencia Insideo'!H173</f>
        <v>177.85714285714201</v>
      </c>
      <c r="F176" s="17">
        <f>'Tabla_Ocurrencia Insideo'!F173</f>
        <v>4.7271428571428498</v>
      </c>
      <c r="G176" s="17">
        <f>'Tabla_Ocurrencia Insideo'!G173</f>
        <v>11.3271428571428</v>
      </c>
      <c r="H176" s="18">
        <f>'Tabla_Ocurrencia Insideo'!I173</f>
        <v>1.7490118083282946E-5</v>
      </c>
      <c r="I176" s="19">
        <f>'Tabla_Ocurrencia Insideo'!J173</f>
        <v>6.3838931003982746E-3</v>
      </c>
    </row>
    <row r="177" spans="1:9" ht="15.6" x14ac:dyDescent="0.3">
      <c r="A177" s="16" t="str">
        <f>'Tabla_Ocurrencia Insideo'!C174</f>
        <v>S</v>
      </c>
      <c r="B177" s="17" t="str">
        <f>'Tabla_Ocurrencia Insideo'!D174</f>
        <v>168,75° – 191,25°</v>
      </c>
      <c r="C177" s="17" t="str">
        <f>'Tabla_Ocurrencia Insideo'!A174</f>
        <v>0.5 - 1.0</v>
      </c>
      <c r="D177" s="17" t="str">
        <f>'Tabla_Ocurrencia Insideo'!B174</f>
        <v>2.0 - 5.0</v>
      </c>
      <c r="E177" s="17">
        <f>'Tabla_Ocurrencia Insideo'!H174</f>
        <v>174.5</v>
      </c>
      <c r="F177" s="17">
        <f>'Tabla_Ocurrencia Insideo'!F174</f>
        <v>0.82833333333333303</v>
      </c>
      <c r="G177" s="17">
        <f>'Tabla_Ocurrencia Insideo'!G174</f>
        <v>4.74166666666666</v>
      </c>
      <c r="H177" s="18">
        <f>'Tabla_Ocurrencia Insideo'!I174</f>
        <v>1.4991529785671095E-5</v>
      </c>
      <c r="I177" s="19">
        <f>'Tabla_Ocurrencia Insideo'!J174</f>
        <v>5.47190837176995E-3</v>
      </c>
    </row>
    <row r="178" spans="1:9" ht="15.6" x14ac:dyDescent="0.3">
      <c r="A178" s="16" t="str">
        <f>'Tabla_Ocurrencia Insideo'!C175</f>
        <v>SW</v>
      </c>
      <c r="B178" s="17" t="str">
        <f>'Tabla_Ocurrencia Insideo'!D175</f>
        <v>213,75° – 236,25°</v>
      </c>
      <c r="C178" s="17" t="str">
        <f>'Tabla_Ocurrencia Insideo'!A175</f>
        <v>0.5 - 1.0</v>
      </c>
      <c r="D178" s="17" t="str">
        <f>'Tabla_Ocurrencia Insideo'!B175</f>
        <v>11.0 - 14.0</v>
      </c>
      <c r="E178" s="17">
        <f>'Tabla_Ocurrencia Insideo'!H175</f>
        <v>223</v>
      </c>
      <c r="F178" s="17">
        <f>'Tabla_Ocurrencia Insideo'!F175</f>
        <v>0.92166666666666597</v>
      </c>
      <c r="G178" s="17">
        <f>'Tabla_Ocurrencia Insideo'!G175</f>
        <v>11.909999999999901</v>
      </c>
      <c r="H178" s="18">
        <f>'Tabla_Ocurrencia Insideo'!I175</f>
        <v>1.4991529785671095E-5</v>
      </c>
      <c r="I178" s="19">
        <f>'Tabla_Ocurrencia Insideo'!J175</f>
        <v>5.47190837176995E-3</v>
      </c>
    </row>
    <row r="179" spans="1:9" ht="15.6" x14ac:dyDescent="0.3">
      <c r="A179" s="16" t="str">
        <f>'Tabla_Ocurrencia Insideo'!C176</f>
        <v>NW</v>
      </c>
      <c r="B179" s="17" t="str">
        <f>'Tabla_Ocurrencia Insideo'!D176</f>
        <v>303,75° – 326,25°</v>
      </c>
      <c r="C179" s="17" t="str">
        <f>'Tabla_Ocurrencia Insideo'!A176</f>
        <v>1.0 - 1.5</v>
      </c>
      <c r="D179" s="17" t="str">
        <f>'Tabla_Ocurrencia Insideo'!B176</f>
        <v>23.0 - 26.0</v>
      </c>
      <c r="E179" s="17">
        <f>'Tabla_Ocurrencia Insideo'!H176</f>
        <v>304</v>
      </c>
      <c r="F179" s="17">
        <f>'Tabla_Ocurrencia Insideo'!F176</f>
        <v>1.3983333333333301</v>
      </c>
      <c r="G179" s="17">
        <f>'Tabla_Ocurrencia Insideo'!G176</f>
        <v>23.26</v>
      </c>
      <c r="H179" s="18">
        <f>'Tabla_Ocurrencia Insideo'!I176</f>
        <v>1.4991529785671095E-5</v>
      </c>
      <c r="I179" s="19">
        <f>'Tabla_Ocurrencia Insideo'!J176</f>
        <v>5.47190837176995E-3</v>
      </c>
    </row>
    <row r="180" spans="1:9" ht="15.6" x14ac:dyDescent="0.3">
      <c r="A180" s="16" t="str">
        <f>'Tabla_Ocurrencia Insideo'!C177</f>
        <v>WNW</v>
      </c>
      <c r="B180" s="17" t="str">
        <f>'Tabla_Ocurrencia Insideo'!D177</f>
        <v>281,25° – 303,75°</v>
      </c>
      <c r="C180" s="17" t="str">
        <f>'Tabla_Ocurrencia Insideo'!A177</f>
        <v>1.5 - 2.0</v>
      </c>
      <c r="D180" s="17" t="str">
        <f>'Tabla_Ocurrencia Insideo'!B177</f>
        <v>8.0 - 11.0</v>
      </c>
      <c r="E180" s="17">
        <f>'Tabla_Ocurrencia Insideo'!H177</f>
        <v>297.166666666666</v>
      </c>
      <c r="F180" s="17">
        <f>'Tabla_Ocurrencia Insideo'!F177</f>
        <v>1.8016666666666601</v>
      </c>
      <c r="G180" s="17">
        <f>'Tabla_Ocurrencia Insideo'!G177</f>
        <v>10.89</v>
      </c>
      <c r="H180" s="18">
        <f>'Tabla_Ocurrencia Insideo'!I177</f>
        <v>1.4991529785671095E-5</v>
      </c>
      <c r="I180" s="19">
        <f>'Tabla_Ocurrencia Insideo'!J177</f>
        <v>5.47190837176995E-3</v>
      </c>
    </row>
    <row r="181" spans="1:9" ht="15.6" x14ac:dyDescent="0.3">
      <c r="A181" s="16" t="str">
        <f>'Tabla_Ocurrencia Insideo'!C178</f>
        <v>W</v>
      </c>
      <c r="B181" s="17" t="str">
        <f>'Tabla_Ocurrencia Insideo'!D178</f>
        <v>258,75° – 281,25°</v>
      </c>
      <c r="C181" s="17" t="str">
        <f>'Tabla_Ocurrencia Insideo'!A178</f>
        <v>3.0 - 3.5</v>
      </c>
      <c r="D181" s="17" t="str">
        <f>'Tabla_Ocurrencia Insideo'!B178</f>
        <v>17.0 - 20.0</v>
      </c>
      <c r="E181" s="17">
        <f>'Tabla_Ocurrencia Insideo'!H178</f>
        <v>270.83333333333297</v>
      </c>
      <c r="F181" s="17">
        <f>'Tabla_Ocurrencia Insideo'!F178</f>
        <v>3.0283333333333302</v>
      </c>
      <c r="G181" s="17">
        <f>'Tabla_Ocurrencia Insideo'!G178</f>
        <v>17.646666666666601</v>
      </c>
      <c r="H181" s="18">
        <f>'Tabla_Ocurrencia Insideo'!I178</f>
        <v>1.4991529785671095E-5</v>
      </c>
      <c r="I181" s="19">
        <f>'Tabla_Ocurrencia Insideo'!J178</f>
        <v>5.47190837176995E-3</v>
      </c>
    </row>
    <row r="182" spans="1:9" ht="15.6" x14ac:dyDescent="0.3">
      <c r="A182" s="16" t="str">
        <f>'Tabla_Ocurrencia Insideo'!C179</f>
        <v>SSW</v>
      </c>
      <c r="B182" s="17" t="str">
        <f>'Tabla_Ocurrencia Insideo'!D179</f>
        <v>191,25° – 213,75°</v>
      </c>
      <c r="C182" s="17" t="str">
        <f>'Tabla_Ocurrencia Insideo'!A179</f>
        <v>1.0 - 1.5</v>
      </c>
      <c r="D182" s="17" t="str">
        <f>'Tabla_Ocurrencia Insideo'!B179</f>
        <v>20.0 - 23.0</v>
      </c>
      <c r="E182" s="17">
        <f>'Tabla_Ocurrencia Insideo'!H179</f>
        <v>198.4</v>
      </c>
      <c r="F182" s="17">
        <f>'Tabla_Ocurrencia Insideo'!F179</f>
        <v>1.462</v>
      </c>
      <c r="G182" s="17">
        <f>'Tabla_Ocurrencia Insideo'!G179</f>
        <v>21.463999999999999</v>
      </c>
      <c r="H182" s="18">
        <f>'Tabla_Ocurrencia Insideo'!I179</f>
        <v>1.2492941488059247E-5</v>
      </c>
      <c r="I182" s="19">
        <f>'Tabla_Ocurrencia Insideo'!J179</f>
        <v>4.5599236431416246E-3</v>
      </c>
    </row>
    <row r="183" spans="1:9" ht="15.6" x14ac:dyDescent="0.3">
      <c r="A183" s="16" t="str">
        <f>'Tabla_Ocurrencia Insideo'!C180</f>
        <v>SW</v>
      </c>
      <c r="B183" s="17" t="str">
        <f>'Tabla_Ocurrencia Insideo'!D180</f>
        <v>213,75° – 236,25°</v>
      </c>
      <c r="C183" s="17" t="str">
        <f>'Tabla_Ocurrencia Insideo'!A180</f>
        <v>1.0 - 1.5</v>
      </c>
      <c r="D183" s="17" t="str">
        <f>'Tabla_Ocurrencia Insideo'!B180</f>
        <v>23.0 - 26.0</v>
      </c>
      <c r="E183" s="17">
        <f>'Tabla_Ocurrencia Insideo'!H180</f>
        <v>215.4</v>
      </c>
      <c r="F183" s="17">
        <f>'Tabla_Ocurrencia Insideo'!F180</f>
        <v>1.44</v>
      </c>
      <c r="G183" s="17">
        <f>'Tabla_Ocurrencia Insideo'!G180</f>
        <v>23.37</v>
      </c>
      <c r="H183" s="18">
        <f>'Tabla_Ocurrencia Insideo'!I180</f>
        <v>1.2492941488059247E-5</v>
      </c>
      <c r="I183" s="19">
        <f>'Tabla_Ocurrencia Insideo'!J180</f>
        <v>4.5599236431416246E-3</v>
      </c>
    </row>
    <row r="184" spans="1:9" ht="15.6" x14ac:dyDescent="0.3">
      <c r="A184" s="16" t="str">
        <f>'Tabla_Ocurrencia Insideo'!C181</f>
        <v>WSW</v>
      </c>
      <c r="B184" s="17" t="str">
        <f>'Tabla_Ocurrencia Insideo'!D181</f>
        <v>236,25° – 258,75°</v>
      </c>
      <c r="C184" s="17" t="str">
        <f>'Tabla_Ocurrencia Insideo'!A181</f>
        <v>2.0 - 2.5</v>
      </c>
      <c r="D184" s="17" t="str">
        <f>'Tabla_Ocurrencia Insideo'!B181</f>
        <v>20.0 - 23.0</v>
      </c>
      <c r="E184" s="17">
        <f>'Tabla_Ocurrencia Insideo'!H181</f>
        <v>246</v>
      </c>
      <c r="F184" s="17">
        <f>'Tabla_Ocurrencia Insideo'!F181</f>
        <v>2.1480000000000001</v>
      </c>
      <c r="G184" s="17">
        <f>'Tabla_Ocurrencia Insideo'!G181</f>
        <v>21.05</v>
      </c>
      <c r="H184" s="18">
        <f>'Tabla_Ocurrencia Insideo'!I181</f>
        <v>1.2492941488059247E-5</v>
      </c>
      <c r="I184" s="19">
        <f>'Tabla_Ocurrencia Insideo'!J181</f>
        <v>4.5599236431416246E-3</v>
      </c>
    </row>
    <row r="185" spans="1:9" ht="15.6" x14ac:dyDescent="0.3">
      <c r="A185" s="16" t="str">
        <f>'Tabla_Ocurrencia Insideo'!C182</f>
        <v>SSE</v>
      </c>
      <c r="B185" s="17" t="str">
        <f>'Tabla_Ocurrencia Insideo'!D182</f>
        <v>146,25° – 168,75°</v>
      </c>
      <c r="C185" s="17" t="str">
        <f>'Tabla_Ocurrencia Insideo'!A182</f>
        <v>3.0 - 3.5</v>
      </c>
      <c r="D185" s="17" t="str">
        <f>'Tabla_Ocurrencia Insideo'!B182</f>
        <v>8.0 - 11.0</v>
      </c>
      <c r="E185" s="17">
        <f>'Tabla_Ocurrencia Insideo'!H182</f>
        <v>166.8</v>
      </c>
      <c r="F185" s="17">
        <f>'Tabla_Ocurrencia Insideo'!F182</f>
        <v>3.45799999999999</v>
      </c>
      <c r="G185" s="17">
        <f>'Tabla_Ocurrencia Insideo'!G182</f>
        <v>8.8339999999999996</v>
      </c>
      <c r="H185" s="18">
        <f>'Tabla_Ocurrencia Insideo'!I182</f>
        <v>1.2492941488059247E-5</v>
      </c>
      <c r="I185" s="19">
        <f>'Tabla_Ocurrencia Insideo'!J182</f>
        <v>4.5599236431416246E-3</v>
      </c>
    </row>
    <row r="186" spans="1:9" ht="15.6" x14ac:dyDescent="0.3">
      <c r="A186" s="16" t="str">
        <f>'Tabla_Ocurrencia Insideo'!C183</f>
        <v>WSW</v>
      </c>
      <c r="B186" s="17" t="str">
        <f>'Tabla_Ocurrencia Insideo'!D183</f>
        <v>236,25° – 258,75°</v>
      </c>
      <c r="C186" s="17" t="str">
        <f>'Tabla_Ocurrencia Insideo'!A183</f>
        <v>3.0 - 3.5</v>
      </c>
      <c r="D186" s="17" t="str">
        <f>'Tabla_Ocurrencia Insideo'!B183</f>
        <v>20.0 - 23.0</v>
      </c>
      <c r="E186" s="17">
        <f>'Tabla_Ocurrencia Insideo'!H183</f>
        <v>242</v>
      </c>
      <c r="F186" s="17">
        <f>'Tabla_Ocurrencia Insideo'!F183</f>
        <v>3.234</v>
      </c>
      <c r="G186" s="17">
        <f>'Tabla_Ocurrencia Insideo'!G183</f>
        <v>21.19</v>
      </c>
      <c r="H186" s="18">
        <f>'Tabla_Ocurrencia Insideo'!I183</f>
        <v>1.2492941488059247E-5</v>
      </c>
      <c r="I186" s="19">
        <f>'Tabla_Ocurrencia Insideo'!J183</f>
        <v>4.5599236431416246E-3</v>
      </c>
    </row>
    <row r="187" spans="1:9" ht="15.6" x14ac:dyDescent="0.3">
      <c r="A187" s="16" t="str">
        <f>'Tabla_Ocurrencia Insideo'!C184</f>
        <v>SW</v>
      </c>
      <c r="B187" s="17" t="str">
        <f>'Tabla_Ocurrencia Insideo'!D184</f>
        <v>213,75° – 236,25°</v>
      </c>
      <c r="C187" s="17" t="str">
        <f>'Tabla_Ocurrencia Insideo'!A184</f>
        <v>3.0 - 3.5</v>
      </c>
      <c r="D187" s="17" t="str">
        <f>'Tabla_Ocurrencia Insideo'!B184</f>
        <v>23.0 - 26.0</v>
      </c>
      <c r="E187" s="17">
        <f>'Tabla_Ocurrencia Insideo'!H184</f>
        <v>219.8</v>
      </c>
      <c r="F187" s="17">
        <f>'Tabla_Ocurrencia Insideo'!F184</f>
        <v>3.0419999999999998</v>
      </c>
      <c r="G187" s="17">
        <f>'Tabla_Ocurrencia Insideo'!G184</f>
        <v>23.37</v>
      </c>
      <c r="H187" s="18">
        <f>'Tabla_Ocurrencia Insideo'!I184</f>
        <v>1.2492941488059247E-5</v>
      </c>
      <c r="I187" s="19">
        <f>'Tabla_Ocurrencia Insideo'!J184</f>
        <v>4.5599236431416246E-3</v>
      </c>
    </row>
    <row r="188" spans="1:9" ht="15.6" x14ac:dyDescent="0.3">
      <c r="A188" s="16" t="str">
        <f>'Tabla_Ocurrencia Insideo'!C185</f>
        <v>SW</v>
      </c>
      <c r="B188" s="17" t="str">
        <f>'Tabla_Ocurrencia Insideo'!D185</f>
        <v>213,75° – 236,25°</v>
      </c>
      <c r="C188" s="17" t="str">
        <f>'Tabla_Ocurrencia Insideo'!A185</f>
        <v>0.5 - 1.0</v>
      </c>
      <c r="D188" s="17" t="str">
        <f>'Tabla_Ocurrencia Insideo'!B185</f>
        <v>8.0 - 11.0</v>
      </c>
      <c r="E188" s="17">
        <f>'Tabla_Ocurrencia Insideo'!H185</f>
        <v>230.25</v>
      </c>
      <c r="F188" s="17">
        <f>'Tabla_Ocurrencia Insideo'!F185</f>
        <v>0.96750000000000003</v>
      </c>
      <c r="G188" s="17">
        <f>'Tabla_Ocurrencia Insideo'!G185</f>
        <v>10.87</v>
      </c>
      <c r="H188" s="18">
        <f>'Tabla_Ocurrencia Insideo'!I185</f>
        <v>9.9943531904473979E-6</v>
      </c>
      <c r="I188" s="19">
        <f>'Tabla_Ocurrencia Insideo'!J185</f>
        <v>3.6479389145133E-3</v>
      </c>
    </row>
    <row r="189" spans="1:9" ht="15.6" x14ac:dyDescent="0.3">
      <c r="A189" s="16" t="str">
        <f>'Tabla_Ocurrencia Insideo'!C186</f>
        <v>SSW</v>
      </c>
      <c r="B189" s="17" t="str">
        <f>'Tabla_Ocurrencia Insideo'!D186</f>
        <v>191,25° – 213,75°</v>
      </c>
      <c r="C189" s="17" t="str">
        <f>'Tabla_Ocurrencia Insideo'!A186</f>
        <v>0.5 - 1.0</v>
      </c>
      <c r="D189" s="17" t="str">
        <f>'Tabla_Ocurrencia Insideo'!B186</f>
        <v>11.0 - 14.0</v>
      </c>
      <c r="E189" s="17">
        <f>'Tabla_Ocurrencia Insideo'!H186</f>
        <v>212.5</v>
      </c>
      <c r="F189" s="17">
        <f>'Tabla_Ocurrencia Insideo'!F186</f>
        <v>0.9425</v>
      </c>
      <c r="G189" s="17">
        <f>'Tabla_Ocurrencia Insideo'!G186</f>
        <v>13.074999999999999</v>
      </c>
      <c r="H189" s="18">
        <f>'Tabla_Ocurrencia Insideo'!I186</f>
        <v>9.9943531904473979E-6</v>
      </c>
      <c r="I189" s="19">
        <f>'Tabla_Ocurrencia Insideo'!J186</f>
        <v>3.6479389145133E-3</v>
      </c>
    </row>
    <row r="190" spans="1:9" ht="15.6" x14ac:dyDescent="0.3">
      <c r="A190" s="16" t="str">
        <f>'Tabla_Ocurrencia Insideo'!C187</f>
        <v>WSW</v>
      </c>
      <c r="B190" s="17" t="str">
        <f>'Tabla_Ocurrencia Insideo'!D187</f>
        <v>236,25° – 258,75°</v>
      </c>
      <c r="C190" s="17" t="str">
        <f>'Tabla_Ocurrencia Insideo'!A187</f>
        <v>1.5 - 2.0</v>
      </c>
      <c r="D190" s="17" t="str">
        <f>'Tabla_Ocurrencia Insideo'!B187</f>
        <v>5.0 - 8.0</v>
      </c>
      <c r="E190" s="17">
        <f>'Tabla_Ocurrencia Insideo'!H187</f>
        <v>240.25</v>
      </c>
      <c r="F190" s="17">
        <f>'Tabla_Ocurrencia Insideo'!F187</f>
        <v>1.9724999999999999</v>
      </c>
      <c r="G190" s="17">
        <f>'Tabla_Ocurrencia Insideo'!G187</f>
        <v>6.23</v>
      </c>
      <c r="H190" s="18">
        <f>'Tabla_Ocurrencia Insideo'!I187</f>
        <v>9.9943531904473979E-6</v>
      </c>
      <c r="I190" s="19">
        <f>'Tabla_Ocurrencia Insideo'!J187</f>
        <v>3.6479389145133E-3</v>
      </c>
    </row>
    <row r="191" spans="1:9" ht="15.6" x14ac:dyDescent="0.3">
      <c r="A191" s="16" t="str">
        <f>'Tabla_Ocurrencia Insideo'!C188</f>
        <v>SSE</v>
      </c>
      <c r="B191" s="17" t="str">
        <f>'Tabla_Ocurrencia Insideo'!D188</f>
        <v>146,25° – 168,75°</v>
      </c>
      <c r="C191" s="17" t="str">
        <f>'Tabla_Ocurrencia Insideo'!A188</f>
        <v>1.5 - 2.0</v>
      </c>
      <c r="D191" s="17" t="str">
        <f>'Tabla_Ocurrencia Insideo'!B188</f>
        <v>11.0 - 14.0</v>
      </c>
      <c r="E191" s="17">
        <f>'Tabla_Ocurrencia Insideo'!H188</f>
        <v>162.5</v>
      </c>
      <c r="F191" s="17">
        <f>'Tabla_Ocurrencia Insideo'!F188</f>
        <v>1.5699999999999901</v>
      </c>
      <c r="G191" s="17">
        <f>'Tabla_Ocurrencia Insideo'!G188</f>
        <v>12.2</v>
      </c>
      <c r="H191" s="18">
        <f>'Tabla_Ocurrencia Insideo'!I188</f>
        <v>9.9943531904473979E-6</v>
      </c>
      <c r="I191" s="19">
        <f>'Tabla_Ocurrencia Insideo'!J188</f>
        <v>3.6479389145133E-3</v>
      </c>
    </row>
    <row r="192" spans="1:9" ht="15.6" x14ac:dyDescent="0.3">
      <c r="A192" s="16" t="str">
        <f>'Tabla_Ocurrencia Insideo'!C189</f>
        <v>SSE</v>
      </c>
      <c r="B192" s="17" t="str">
        <f>'Tabla_Ocurrencia Insideo'!D189</f>
        <v>146,25° – 168,75°</v>
      </c>
      <c r="C192" s="17" t="str">
        <f>'Tabla_Ocurrencia Insideo'!A189</f>
        <v>2.0 - 2.5</v>
      </c>
      <c r="D192" s="17" t="str">
        <f>'Tabla_Ocurrencia Insideo'!B189</f>
        <v>5.0 - 8.0</v>
      </c>
      <c r="E192" s="17">
        <f>'Tabla_Ocurrencia Insideo'!H189</f>
        <v>167.75</v>
      </c>
      <c r="F192" s="17">
        <f>'Tabla_Ocurrencia Insideo'!F189</f>
        <v>2.41</v>
      </c>
      <c r="G192" s="17">
        <f>'Tabla_Ocurrencia Insideo'!G189</f>
        <v>7.6749999999999998</v>
      </c>
      <c r="H192" s="18">
        <f>'Tabla_Ocurrencia Insideo'!I189</f>
        <v>9.9943531904473979E-6</v>
      </c>
      <c r="I192" s="19">
        <f>'Tabla_Ocurrencia Insideo'!J189</f>
        <v>3.6479389145133E-3</v>
      </c>
    </row>
    <row r="193" spans="1:9" ht="15.6" x14ac:dyDescent="0.3">
      <c r="A193" s="16" t="str">
        <f>'Tabla_Ocurrencia Insideo'!C190</f>
        <v>NW</v>
      </c>
      <c r="B193" s="17" t="str">
        <f>'Tabla_Ocurrencia Insideo'!D190</f>
        <v>303,75° – 326,25°</v>
      </c>
      <c r="C193" s="17" t="str">
        <f>'Tabla_Ocurrencia Insideo'!A190</f>
        <v>2.0 - 2.5</v>
      </c>
      <c r="D193" s="17" t="str">
        <f>'Tabla_Ocurrencia Insideo'!B190</f>
        <v>23.0 - 26.0</v>
      </c>
      <c r="E193" s="17">
        <f>'Tabla_Ocurrencia Insideo'!H190</f>
        <v>304</v>
      </c>
      <c r="F193" s="17">
        <f>'Tabla_Ocurrencia Insideo'!F190</f>
        <v>2.1225000000000001</v>
      </c>
      <c r="G193" s="17">
        <f>'Tabla_Ocurrencia Insideo'!G190</f>
        <v>23.672499999999999</v>
      </c>
      <c r="H193" s="18">
        <f>'Tabla_Ocurrencia Insideo'!I190</f>
        <v>9.9943531904473979E-6</v>
      </c>
      <c r="I193" s="19">
        <f>'Tabla_Ocurrencia Insideo'!J190</f>
        <v>3.6479389145133E-3</v>
      </c>
    </row>
    <row r="194" spans="1:9" ht="15.6" x14ac:dyDescent="0.3">
      <c r="A194" s="16" t="str">
        <f>'Tabla_Ocurrencia Insideo'!C191</f>
        <v>WNW</v>
      </c>
      <c r="B194" s="17" t="str">
        <f>'Tabla_Ocurrencia Insideo'!D191</f>
        <v>281,25° – 303,75°</v>
      </c>
      <c r="C194" s="17" t="str">
        <f>'Tabla_Ocurrencia Insideo'!A191</f>
        <v>2.5 - 3.0</v>
      </c>
      <c r="D194" s="17" t="str">
        <f>'Tabla_Ocurrencia Insideo'!B191</f>
        <v>14.0 - 17.0</v>
      </c>
      <c r="E194" s="17">
        <f>'Tabla_Ocurrencia Insideo'!H191</f>
        <v>282.75</v>
      </c>
      <c r="F194" s="17">
        <f>'Tabla_Ocurrencia Insideo'!F191</f>
        <v>2.5274999999999999</v>
      </c>
      <c r="G194" s="17">
        <f>'Tabla_Ocurrencia Insideo'!G191</f>
        <v>16.13</v>
      </c>
      <c r="H194" s="18">
        <f>'Tabla_Ocurrencia Insideo'!I191</f>
        <v>9.9943531904473979E-6</v>
      </c>
      <c r="I194" s="19">
        <f>'Tabla_Ocurrencia Insideo'!J191</f>
        <v>3.6479389145133E-3</v>
      </c>
    </row>
    <row r="195" spans="1:9" ht="15.6" x14ac:dyDescent="0.3">
      <c r="A195" s="16" t="str">
        <f>'Tabla_Ocurrencia Insideo'!C192</f>
        <v>SSE</v>
      </c>
      <c r="B195" s="17" t="str">
        <f>'Tabla_Ocurrencia Insideo'!D192</f>
        <v>146,25° – 168,75°</v>
      </c>
      <c r="C195" s="17" t="str">
        <f>'Tabla_Ocurrencia Insideo'!A192</f>
        <v>3.5 - 4.0</v>
      </c>
      <c r="D195" s="17" t="str">
        <f>'Tabla_Ocurrencia Insideo'!B192</f>
        <v>8.0 - 11.0</v>
      </c>
      <c r="E195" s="17">
        <f>'Tabla_Ocurrencia Insideo'!H192</f>
        <v>166.25</v>
      </c>
      <c r="F195" s="17">
        <f>'Tabla_Ocurrencia Insideo'!F192</f>
        <v>3.5774999999999899</v>
      </c>
      <c r="G195" s="17">
        <f>'Tabla_Ocurrencia Insideo'!G192</f>
        <v>8.85</v>
      </c>
      <c r="H195" s="18">
        <f>'Tabla_Ocurrencia Insideo'!I192</f>
        <v>9.9943531904473979E-6</v>
      </c>
      <c r="I195" s="19">
        <f>'Tabla_Ocurrencia Insideo'!J192</f>
        <v>3.6479389145133E-3</v>
      </c>
    </row>
    <row r="196" spans="1:9" ht="15.6" x14ac:dyDescent="0.3">
      <c r="A196" s="16" t="str">
        <f>'Tabla_Ocurrencia Insideo'!C193</f>
        <v>SSW</v>
      </c>
      <c r="B196" s="17" t="str">
        <f>'Tabla_Ocurrencia Insideo'!D193</f>
        <v>191,25° – 213,75°</v>
      </c>
      <c r="C196" s="17" t="str">
        <f>'Tabla_Ocurrencia Insideo'!A193</f>
        <v>4.0 - 4.5</v>
      </c>
      <c r="D196" s="17" t="str">
        <f>'Tabla_Ocurrencia Insideo'!B193</f>
        <v>20.0 - 23.0</v>
      </c>
      <c r="E196" s="17">
        <f>'Tabla_Ocurrencia Insideo'!H193</f>
        <v>211.5</v>
      </c>
      <c r="F196" s="17">
        <f>'Tabla_Ocurrencia Insideo'!F193</f>
        <v>4.0124999999999904</v>
      </c>
      <c r="G196" s="17">
        <f>'Tabla_Ocurrencia Insideo'!G193</f>
        <v>20.517499999999998</v>
      </c>
      <c r="H196" s="18">
        <f>'Tabla_Ocurrencia Insideo'!I193</f>
        <v>9.9943531904473979E-6</v>
      </c>
      <c r="I196" s="19">
        <f>'Tabla_Ocurrencia Insideo'!J193</f>
        <v>3.6479389145133E-3</v>
      </c>
    </row>
    <row r="197" spans="1:9" ht="15.6" x14ac:dyDescent="0.3">
      <c r="A197" s="16" t="str">
        <f>'Tabla_Ocurrencia Insideo'!C194</f>
        <v>SW</v>
      </c>
      <c r="B197" s="17" t="str">
        <f>'Tabla_Ocurrencia Insideo'!D194</f>
        <v>213,75° – 236,25°</v>
      </c>
      <c r="C197" s="17" t="str">
        <f>'Tabla_Ocurrencia Insideo'!A194</f>
        <v>1.5 - 2.0</v>
      </c>
      <c r="D197" s="17" t="str">
        <f>'Tabla_Ocurrencia Insideo'!B194</f>
        <v>5.0 - 8.0</v>
      </c>
      <c r="E197" s="17">
        <f>'Tabla_Ocurrencia Insideo'!H194</f>
        <v>216.666666666666</v>
      </c>
      <c r="F197" s="17">
        <f>'Tabla_Ocurrencia Insideo'!F194</f>
        <v>1.9766666666666599</v>
      </c>
      <c r="G197" s="17">
        <f>'Tabla_Ocurrencia Insideo'!G194</f>
        <v>5.9733333333333301</v>
      </c>
      <c r="H197" s="18">
        <f>'Tabla_Ocurrencia Insideo'!I194</f>
        <v>7.4957648928355476E-6</v>
      </c>
      <c r="I197" s="19">
        <f>'Tabla_Ocurrencia Insideo'!J194</f>
        <v>2.735954185884975E-3</v>
      </c>
    </row>
    <row r="198" spans="1:9" ht="15.6" x14ac:dyDescent="0.3">
      <c r="A198" s="16" t="str">
        <f>'Tabla_Ocurrencia Insideo'!C195</f>
        <v>S</v>
      </c>
      <c r="B198" s="17" t="str">
        <f>'Tabla_Ocurrencia Insideo'!D195</f>
        <v>168,75° – 191,25°</v>
      </c>
      <c r="C198" s="17" t="str">
        <f>'Tabla_Ocurrencia Insideo'!A195</f>
        <v>3.0 - 3.5</v>
      </c>
      <c r="D198" s="17" t="str">
        <f>'Tabla_Ocurrencia Insideo'!B195</f>
        <v>20.0 - 23.0</v>
      </c>
      <c r="E198" s="17">
        <f>'Tabla_Ocurrencia Insideo'!H195</f>
        <v>189</v>
      </c>
      <c r="F198" s="17">
        <f>'Tabla_Ocurrencia Insideo'!F195</f>
        <v>3.2066666666666599</v>
      </c>
      <c r="G198" s="17">
        <f>'Tabla_Ocurrencia Insideo'!G195</f>
        <v>20.84</v>
      </c>
      <c r="H198" s="18">
        <f>'Tabla_Ocurrencia Insideo'!I195</f>
        <v>7.4957648928355476E-6</v>
      </c>
      <c r="I198" s="19">
        <f>'Tabla_Ocurrencia Insideo'!J195</f>
        <v>2.735954185884975E-3</v>
      </c>
    </row>
    <row r="199" spans="1:9" ht="15.6" x14ac:dyDescent="0.3">
      <c r="A199" s="16" t="str">
        <f>'Tabla_Ocurrencia Insideo'!C196</f>
        <v>SSW</v>
      </c>
      <c r="B199" s="17" t="str">
        <f>'Tabla_Ocurrencia Insideo'!D196</f>
        <v>191,25° – 213,75°</v>
      </c>
      <c r="C199" s="17" t="str">
        <f>'Tabla_Ocurrencia Insideo'!A196</f>
        <v>3.5 - 4.0</v>
      </c>
      <c r="D199" s="17" t="str">
        <f>'Tabla_Ocurrencia Insideo'!B196</f>
        <v>8.0 - 11.0</v>
      </c>
      <c r="E199" s="17">
        <f>'Tabla_Ocurrencia Insideo'!H196</f>
        <v>192</v>
      </c>
      <c r="F199" s="17">
        <f>'Tabla_Ocurrencia Insideo'!F196</f>
        <v>3.8766666666666598</v>
      </c>
      <c r="G199" s="17">
        <f>'Tabla_Ocurrencia Insideo'!G196</f>
        <v>10.64</v>
      </c>
      <c r="H199" s="18">
        <f>'Tabla_Ocurrencia Insideo'!I196</f>
        <v>7.4957648928355476E-6</v>
      </c>
      <c r="I199" s="19">
        <f>'Tabla_Ocurrencia Insideo'!J196</f>
        <v>2.735954185884975E-3</v>
      </c>
    </row>
    <row r="200" spans="1:9" ht="15.6" x14ac:dyDescent="0.3">
      <c r="A200" s="16" t="str">
        <f>'Tabla_Ocurrencia Insideo'!C197</f>
        <v>SW</v>
      </c>
      <c r="B200" s="17" t="str">
        <f>'Tabla_Ocurrencia Insideo'!D197</f>
        <v>213,75° – 236,25°</v>
      </c>
      <c r="C200" s="17" t="str">
        <f>'Tabla_Ocurrencia Insideo'!A197</f>
        <v>0.5 - 1.0</v>
      </c>
      <c r="D200" s="17" t="str">
        <f>'Tabla_Ocurrencia Insideo'!B197</f>
        <v>20.0 - 23.0</v>
      </c>
      <c r="E200" s="17">
        <f>'Tabla_Ocurrencia Insideo'!H197</f>
        <v>217.5</v>
      </c>
      <c r="F200" s="17">
        <f>'Tabla_Ocurrencia Insideo'!F197</f>
        <v>0.92500000000000004</v>
      </c>
      <c r="G200" s="17">
        <f>'Tabla_Ocurrencia Insideo'!G197</f>
        <v>21.28</v>
      </c>
      <c r="H200" s="18">
        <f>'Tabla_Ocurrencia Insideo'!I197</f>
        <v>4.997176595223699E-6</v>
      </c>
      <c r="I200" s="19">
        <f>'Tabla_Ocurrencia Insideo'!J197</f>
        <v>1.82396945725665E-3</v>
      </c>
    </row>
    <row r="201" spans="1:9" ht="15.6" x14ac:dyDescent="0.3">
      <c r="A201" s="16" t="str">
        <f>'Tabla_Ocurrencia Insideo'!C198</f>
        <v>WSW</v>
      </c>
      <c r="B201" s="17" t="str">
        <f>'Tabla_Ocurrencia Insideo'!D198</f>
        <v>236,25° – 258,75°</v>
      </c>
      <c r="C201" s="17" t="str">
        <f>'Tabla_Ocurrencia Insideo'!A198</f>
        <v>1.5 - 2.0</v>
      </c>
      <c r="D201" s="17" t="str">
        <f>'Tabla_Ocurrencia Insideo'!B198</f>
        <v>20.0 - 23.0</v>
      </c>
      <c r="E201" s="17">
        <f>'Tabla_Ocurrencia Insideo'!H198</f>
        <v>254.5</v>
      </c>
      <c r="F201" s="17">
        <f>'Tabla_Ocurrencia Insideo'!F198</f>
        <v>1.99</v>
      </c>
      <c r="G201" s="17">
        <f>'Tabla_Ocurrencia Insideo'!G198</f>
        <v>20.619999999999902</v>
      </c>
      <c r="H201" s="18">
        <f>'Tabla_Ocurrencia Insideo'!I198</f>
        <v>4.997176595223699E-6</v>
      </c>
      <c r="I201" s="19">
        <f>'Tabla_Ocurrencia Insideo'!J198</f>
        <v>1.82396945725665E-3</v>
      </c>
    </row>
    <row r="202" spans="1:9" ht="15.6" x14ac:dyDescent="0.3">
      <c r="A202" s="16" t="str">
        <f>'Tabla_Ocurrencia Insideo'!C199</f>
        <v>SW</v>
      </c>
      <c r="B202" s="17" t="str">
        <f>'Tabla_Ocurrencia Insideo'!D199</f>
        <v>213,75° – 236,25°</v>
      </c>
      <c r="C202" s="17" t="str">
        <f>'Tabla_Ocurrencia Insideo'!A199</f>
        <v>2.0 - 2.5</v>
      </c>
      <c r="D202" s="17" t="str">
        <f>'Tabla_Ocurrencia Insideo'!B199</f>
        <v>2.0 - 5.0</v>
      </c>
      <c r="E202" s="17">
        <f>'Tabla_Ocurrencia Insideo'!H199</f>
        <v>215</v>
      </c>
      <c r="F202" s="17">
        <f>'Tabla_Ocurrencia Insideo'!F199</f>
        <v>2.21999999999999</v>
      </c>
      <c r="G202" s="17">
        <f>'Tabla_Ocurrencia Insideo'!G199</f>
        <v>4.9550000000000001</v>
      </c>
      <c r="H202" s="18">
        <f>'Tabla_Ocurrencia Insideo'!I199</f>
        <v>4.997176595223699E-6</v>
      </c>
      <c r="I202" s="19">
        <f>'Tabla_Ocurrencia Insideo'!J199</f>
        <v>1.82396945725665E-3</v>
      </c>
    </row>
    <row r="203" spans="1:9" ht="15.6" x14ac:dyDescent="0.3">
      <c r="A203" s="16" t="str">
        <f>'Tabla_Ocurrencia Insideo'!C200</f>
        <v>SW</v>
      </c>
      <c r="B203" s="17" t="str">
        <f>'Tabla_Ocurrencia Insideo'!D200</f>
        <v>213,75° – 236,25°</v>
      </c>
      <c r="C203" s="17" t="str">
        <f>'Tabla_Ocurrencia Insideo'!A200</f>
        <v>2.0 - 2.5</v>
      </c>
      <c r="D203" s="17" t="str">
        <f>'Tabla_Ocurrencia Insideo'!B200</f>
        <v>26.0 - 29.0</v>
      </c>
      <c r="E203" s="17">
        <f>'Tabla_Ocurrencia Insideo'!H200</f>
        <v>217</v>
      </c>
      <c r="F203" s="17">
        <f>'Tabla_Ocurrencia Insideo'!F200</f>
        <v>2.46</v>
      </c>
      <c r="G203" s="17">
        <f>'Tabla_Ocurrencia Insideo'!G200</f>
        <v>26.32</v>
      </c>
      <c r="H203" s="18">
        <f>'Tabla_Ocurrencia Insideo'!I200</f>
        <v>4.997176595223699E-6</v>
      </c>
      <c r="I203" s="19">
        <f>'Tabla_Ocurrencia Insideo'!J200</f>
        <v>1.82396945725665E-3</v>
      </c>
    </row>
    <row r="204" spans="1:9" ht="15.6" x14ac:dyDescent="0.3">
      <c r="A204" s="16" t="str">
        <f>'Tabla_Ocurrencia Insideo'!C201</f>
        <v>WSW</v>
      </c>
      <c r="B204" s="17" t="str">
        <f>'Tabla_Ocurrencia Insideo'!D201</f>
        <v>236,25° – 258,75°</v>
      </c>
      <c r="C204" s="17" t="str">
        <f>'Tabla_Ocurrencia Insideo'!A201</f>
        <v>2.5 - 3.0</v>
      </c>
      <c r="D204" s="17" t="str">
        <f>'Tabla_Ocurrencia Insideo'!B201</f>
        <v>20.0 - 23.0</v>
      </c>
      <c r="E204" s="17">
        <f>'Tabla_Ocurrencia Insideo'!H201</f>
        <v>241.5</v>
      </c>
      <c r="F204" s="17">
        <f>'Tabla_Ocurrencia Insideo'!F201</f>
        <v>2.59</v>
      </c>
      <c r="G204" s="17">
        <f>'Tabla_Ocurrencia Insideo'!G201</f>
        <v>20.869999999999902</v>
      </c>
      <c r="H204" s="18">
        <f>'Tabla_Ocurrencia Insideo'!I201</f>
        <v>4.997176595223699E-6</v>
      </c>
      <c r="I204" s="19">
        <f>'Tabla_Ocurrencia Insideo'!J201</f>
        <v>1.82396945725665E-3</v>
      </c>
    </row>
    <row r="205" spans="1:9" ht="15.6" x14ac:dyDescent="0.3">
      <c r="A205" s="16" t="str">
        <f>'Tabla_Ocurrencia Insideo'!C202</f>
        <v>SW</v>
      </c>
      <c r="B205" s="17" t="str">
        <f>'Tabla_Ocurrencia Insideo'!D202</f>
        <v>213,75° – 236,25°</v>
      </c>
      <c r="C205" s="17" t="str">
        <f>'Tabla_Ocurrencia Insideo'!A202</f>
        <v>4.0 - 4.5</v>
      </c>
      <c r="D205" s="17" t="str">
        <f>'Tabla_Ocurrencia Insideo'!B202</f>
        <v>20.0 - 23.0</v>
      </c>
      <c r="E205" s="17">
        <f>'Tabla_Ocurrencia Insideo'!H202</f>
        <v>214</v>
      </c>
      <c r="F205" s="17">
        <f>'Tabla_Ocurrencia Insideo'!F202</f>
        <v>4.05</v>
      </c>
      <c r="G205" s="17">
        <f>'Tabla_Ocurrencia Insideo'!G202</f>
        <v>20.204999999999998</v>
      </c>
      <c r="H205" s="18">
        <f>'Tabla_Ocurrencia Insideo'!I202</f>
        <v>4.997176595223699E-6</v>
      </c>
      <c r="I205" s="19">
        <f>'Tabla_Ocurrencia Insideo'!J202</f>
        <v>1.82396945725665E-3</v>
      </c>
    </row>
    <row r="206" spans="1:9" ht="15.6" x14ac:dyDescent="0.3">
      <c r="A206" s="16" t="str">
        <f>'Tabla_Ocurrencia Insideo'!C203</f>
        <v>S</v>
      </c>
      <c r="B206" s="17" t="str">
        <f>'Tabla_Ocurrencia Insideo'!D203</f>
        <v>168,75° – 191,25°</v>
      </c>
      <c r="C206" s="17" t="str">
        <f>'Tabla_Ocurrencia Insideo'!A203</f>
        <v>0.5 - 1.0</v>
      </c>
      <c r="D206" s="17" t="str">
        <f>'Tabla_Ocurrencia Insideo'!B203</f>
        <v>17.0 - 20.0</v>
      </c>
      <c r="E206" s="17">
        <f>'Tabla_Ocurrencia Insideo'!H203</f>
        <v>169</v>
      </c>
      <c r="F206" s="17">
        <f>'Tabla_Ocurrencia Insideo'!F203</f>
        <v>0.7</v>
      </c>
      <c r="G206" s="17">
        <f>'Tabla_Ocurrencia Insideo'!G203</f>
        <v>17.239999999999998</v>
      </c>
      <c r="H206" s="18">
        <f>'Tabla_Ocurrencia Insideo'!I203</f>
        <v>2.4985882976118495E-6</v>
      </c>
      <c r="I206" s="19">
        <f>'Tabla_Ocurrencia Insideo'!J203</f>
        <v>9.1198472862832501E-4</v>
      </c>
    </row>
    <row r="207" spans="1:9" ht="15.6" x14ac:dyDescent="0.3">
      <c r="A207" s="16" t="str">
        <f>'Tabla_Ocurrencia Insideo'!C204</f>
        <v>SW</v>
      </c>
      <c r="B207" s="17" t="str">
        <f>'Tabla_Ocurrencia Insideo'!D204</f>
        <v>213,75° – 236,25°</v>
      </c>
      <c r="C207" s="17" t="str">
        <f>'Tabla_Ocurrencia Insideo'!A204</f>
        <v>0.5 - 1.0</v>
      </c>
      <c r="D207" s="17" t="str">
        <f>'Tabla_Ocurrencia Insideo'!B204</f>
        <v>17.0 - 20.0</v>
      </c>
      <c r="E207" s="17">
        <f>'Tabla_Ocurrencia Insideo'!H204</f>
        <v>216</v>
      </c>
      <c r="F207" s="17">
        <f>'Tabla_Ocurrencia Insideo'!F204</f>
        <v>0.98</v>
      </c>
      <c r="G207" s="17">
        <f>'Tabla_Ocurrencia Insideo'!G204</f>
        <v>19.61</v>
      </c>
      <c r="H207" s="18">
        <f>'Tabla_Ocurrencia Insideo'!I204</f>
        <v>2.4985882976118495E-6</v>
      </c>
      <c r="I207" s="19">
        <f>'Tabla_Ocurrencia Insideo'!J204</f>
        <v>9.1198472862832501E-4</v>
      </c>
    </row>
    <row r="208" spans="1:9" ht="15.6" x14ac:dyDescent="0.3">
      <c r="A208" s="16" t="str">
        <f>'Tabla_Ocurrencia Insideo'!C205</f>
        <v>WSW</v>
      </c>
      <c r="B208" s="17" t="str">
        <f>'Tabla_Ocurrencia Insideo'!D205</f>
        <v>236,25° – 258,75°</v>
      </c>
      <c r="C208" s="17" t="str">
        <f>'Tabla_Ocurrencia Insideo'!A205</f>
        <v>1.0 - 1.5</v>
      </c>
      <c r="D208" s="17" t="str">
        <f>'Tabla_Ocurrencia Insideo'!B205</f>
        <v>8.0 - 11.0</v>
      </c>
      <c r="E208" s="17">
        <f>'Tabla_Ocurrencia Insideo'!H205</f>
        <v>241</v>
      </c>
      <c r="F208" s="17">
        <f>'Tabla_Ocurrencia Insideo'!F205</f>
        <v>1.42</v>
      </c>
      <c r="G208" s="17">
        <f>'Tabla_Ocurrencia Insideo'!G205</f>
        <v>8.93</v>
      </c>
      <c r="H208" s="18">
        <f>'Tabla_Ocurrencia Insideo'!I205</f>
        <v>2.4985882976118495E-6</v>
      </c>
      <c r="I208" s="19">
        <f>'Tabla_Ocurrencia Insideo'!J205</f>
        <v>9.1198472862832501E-4</v>
      </c>
    </row>
    <row r="209" spans="1:9" ht="15.6" x14ac:dyDescent="0.3">
      <c r="A209" s="16" t="str">
        <f>'Tabla_Ocurrencia Insideo'!C206</f>
        <v>W</v>
      </c>
      <c r="B209" s="17" t="str">
        <f>'Tabla_Ocurrencia Insideo'!D206</f>
        <v>258,75° – 281,25°</v>
      </c>
      <c r="C209" s="17" t="str">
        <f>'Tabla_Ocurrencia Insideo'!A206</f>
        <v>1.0 - 1.5</v>
      </c>
      <c r="D209" s="17" t="str">
        <f>'Tabla_Ocurrencia Insideo'!B206</f>
        <v>20.0 - 23.0</v>
      </c>
      <c r="E209" s="17">
        <f>'Tabla_Ocurrencia Insideo'!H206</f>
        <v>280</v>
      </c>
      <c r="F209" s="17">
        <f>'Tabla_Ocurrencia Insideo'!F206</f>
        <v>1.35</v>
      </c>
      <c r="G209" s="17">
        <f>'Tabla_Ocurrencia Insideo'!G206</f>
        <v>20</v>
      </c>
      <c r="H209" s="18">
        <f>'Tabla_Ocurrencia Insideo'!I206</f>
        <v>2.4985882976118495E-6</v>
      </c>
      <c r="I209" s="19">
        <f>'Tabla_Ocurrencia Insideo'!J206</f>
        <v>9.1198472862832501E-4</v>
      </c>
    </row>
    <row r="210" spans="1:9" ht="15.6" x14ac:dyDescent="0.3">
      <c r="A210" s="16" t="str">
        <f>'Tabla_Ocurrencia Insideo'!C207</f>
        <v>SSE</v>
      </c>
      <c r="B210" s="17" t="str">
        <f>'Tabla_Ocurrencia Insideo'!D207</f>
        <v>146,25° – 168,75°</v>
      </c>
      <c r="C210" s="17" t="str">
        <f>'Tabla_Ocurrencia Insideo'!A207</f>
        <v>2.5 - 3.0</v>
      </c>
      <c r="D210" s="17" t="str">
        <f>'Tabla_Ocurrencia Insideo'!B207</f>
        <v>5.0 - 8.0</v>
      </c>
      <c r="E210" s="17">
        <f>'Tabla_Ocurrencia Insideo'!H207</f>
        <v>167</v>
      </c>
      <c r="F210" s="17">
        <f>'Tabla_Ocurrencia Insideo'!F207</f>
        <v>2.5099999999999998</v>
      </c>
      <c r="G210" s="17">
        <f>'Tabla_Ocurrencia Insideo'!G207</f>
        <v>7.87</v>
      </c>
      <c r="H210" s="18">
        <f>'Tabla_Ocurrencia Insideo'!I207</f>
        <v>2.4985882976118495E-6</v>
      </c>
      <c r="I210" s="19">
        <f>'Tabla_Ocurrencia Insideo'!J207</f>
        <v>9.1198472862832501E-4</v>
      </c>
    </row>
    <row r="211" spans="1:9" ht="15.6" x14ac:dyDescent="0.3">
      <c r="A211" s="16" t="str">
        <f>'Tabla_Ocurrencia Insideo'!C208</f>
        <v>S</v>
      </c>
      <c r="B211" s="17" t="str">
        <f>'Tabla_Ocurrencia Insideo'!D208</f>
        <v>168,75° – 191,25°</v>
      </c>
      <c r="C211" s="17" t="str">
        <f>'Tabla_Ocurrencia Insideo'!A208</f>
        <v>2.5 - 3.0</v>
      </c>
      <c r="D211" s="17" t="str">
        <f>'Tabla_Ocurrencia Insideo'!B208</f>
        <v>23.0 - 26.0</v>
      </c>
      <c r="E211" s="17">
        <f>'Tabla_Ocurrencia Insideo'!H208</f>
        <v>189</v>
      </c>
      <c r="F211" s="17">
        <f>'Tabla_Ocurrencia Insideo'!F208</f>
        <v>2.5299999999999998</v>
      </c>
      <c r="G211" s="17">
        <f>'Tabla_Ocurrencia Insideo'!G208</f>
        <v>23.26</v>
      </c>
      <c r="H211" s="18">
        <f>'Tabla_Ocurrencia Insideo'!I208</f>
        <v>2.4985882976118495E-6</v>
      </c>
      <c r="I211" s="19">
        <f>'Tabla_Ocurrencia Insideo'!J208</f>
        <v>9.1198472862832501E-4</v>
      </c>
    </row>
    <row r="212" spans="1:9" ht="15.6" x14ac:dyDescent="0.3">
      <c r="A212" s="16" t="str">
        <f>'Tabla_Ocurrencia Insideo'!C209</f>
        <v>S</v>
      </c>
      <c r="B212" s="17" t="str">
        <f>'Tabla_Ocurrencia Insideo'!D209</f>
        <v>168,75° – 191,25°</v>
      </c>
      <c r="C212" s="17" t="str">
        <f>'Tabla_Ocurrencia Insideo'!A209</f>
        <v>3.5 - 4.0</v>
      </c>
      <c r="D212" s="17" t="str">
        <f>'Tabla_Ocurrencia Insideo'!B209</f>
        <v>17.0 - 20.0</v>
      </c>
      <c r="E212" s="17">
        <f>'Tabla_Ocurrencia Insideo'!H209</f>
        <v>191</v>
      </c>
      <c r="F212" s="17">
        <f>'Tabla_Ocurrencia Insideo'!F209</f>
        <v>3.59</v>
      </c>
      <c r="G212" s="17">
        <f>'Tabla_Ocurrencia Insideo'!G209</f>
        <v>19.23</v>
      </c>
      <c r="H212" s="18">
        <f>'Tabla_Ocurrencia Insideo'!I209</f>
        <v>2.4985882976118495E-6</v>
      </c>
      <c r="I212" s="19">
        <f>'Tabla_Ocurrencia Insideo'!J209</f>
        <v>9.1198472862832501E-4</v>
      </c>
    </row>
    <row r="213" spans="1:9" ht="15.6" x14ac:dyDescent="0.3">
      <c r="A213" s="16" t="str">
        <f>'Tabla_Ocurrencia Insideo'!C210</f>
        <v>SW</v>
      </c>
      <c r="B213" s="17" t="str">
        <f>'Tabla_Ocurrencia Insideo'!D210</f>
        <v>213,75° – 236,25°</v>
      </c>
      <c r="C213" s="17" t="str">
        <f>'Tabla_Ocurrencia Insideo'!A210</f>
        <v>4.0 - 4.5</v>
      </c>
      <c r="D213" s="17" t="str">
        <f>'Tabla_Ocurrencia Insideo'!B210</f>
        <v>14.0 - 17.0</v>
      </c>
      <c r="E213" s="17">
        <f>'Tabla_Ocurrencia Insideo'!H210</f>
        <v>218</v>
      </c>
      <c r="F213" s="17">
        <f>'Tabla_Ocurrencia Insideo'!F210</f>
        <v>4.03</v>
      </c>
      <c r="G213" s="17">
        <f>'Tabla_Ocurrencia Insideo'!G210</f>
        <v>16.95</v>
      </c>
      <c r="H213" s="18">
        <f>'Tabla_Ocurrencia Insideo'!I210</f>
        <v>2.4985882976118495E-6</v>
      </c>
      <c r="I213" s="19">
        <f>'Tabla_Ocurrencia Insideo'!J210</f>
        <v>9.1198472862832501E-4</v>
      </c>
    </row>
  </sheetData>
  <autoFilter ref="A4:I213" xr:uid="{C7AEB6A6-5C5D-4213-9270-E90D1E3DCC88}"/>
  <mergeCells count="4">
    <mergeCell ref="A3:D3"/>
    <mergeCell ref="E3:G3"/>
    <mergeCell ref="H3:I3"/>
    <mergeCell ref="A1:J1"/>
  </mergeCells>
  <pageMargins left="0.70866141732283472" right="0.70866141732283472" top="0.74803149606299213" bottom="0.74803149606299213" header="0.31496062992125984" footer="0.31496062992125984"/>
  <pageSetup scale="72" orientation="portrait" r:id="rId1"/>
  <headerFooter>
    <oddHeader>&amp;L&amp;G&amp;R&amp;G</oddHeader>
  </headerFooter>
  <colBreaks count="1" manualBreakCount="1">
    <brk id="10" max="1048575" man="1"/>
  </col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5AE2-16F6-426C-A788-497AE3001D9C}">
  <dimension ref="A1:J22"/>
  <sheetViews>
    <sheetView topLeftCell="B1" workbookViewId="0">
      <selection activeCell="B15" sqref="B15:E15"/>
    </sheetView>
  </sheetViews>
  <sheetFormatPr baseColWidth="10" defaultRowHeight="14.4" x14ac:dyDescent="0.3"/>
  <cols>
    <col min="1" max="1" width="25.6640625" customWidth="1"/>
    <col min="2" max="2" width="18.88671875" customWidth="1"/>
    <col min="3" max="4" width="21.5546875" customWidth="1"/>
    <col min="5" max="5" width="23.44140625" customWidth="1"/>
  </cols>
  <sheetData>
    <row r="1" spans="1:10" x14ac:dyDescent="0.3">
      <c r="A1" s="20" t="s">
        <v>40</v>
      </c>
      <c r="B1" s="20" t="s">
        <v>41</v>
      </c>
      <c r="C1" s="20" t="s">
        <v>42</v>
      </c>
      <c r="D1" s="20" t="s">
        <v>124</v>
      </c>
      <c r="E1" s="20" t="s">
        <v>43</v>
      </c>
      <c r="F1" s="20" t="s">
        <v>1</v>
      </c>
      <c r="G1" s="20" t="s">
        <v>2</v>
      </c>
    </row>
    <row r="2" spans="1:10" ht="15" customHeight="1" x14ac:dyDescent="0.3">
      <c r="A2" s="21" t="s">
        <v>44</v>
      </c>
      <c r="B2" s="21" t="s">
        <v>45</v>
      </c>
      <c r="C2" s="21" t="s">
        <v>46</v>
      </c>
      <c r="D2" s="53">
        <v>0</v>
      </c>
      <c r="E2" s="21" t="s">
        <v>127</v>
      </c>
      <c r="F2" s="21">
        <v>348.75</v>
      </c>
      <c r="G2" s="21">
        <v>11.25</v>
      </c>
    </row>
    <row r="3" spans="1:10" ht="15" customHeight="1" x14ac:dyDescent="0.3">
      <c r="A3" s="21" t="s">
        <v>47</v>
      </c>
      <c r="B3" s="21" t="s">
        <v>48</v>
      </c>
      <c r="C3" s="21" t="s">
        <v>128</v>
      </c>
      <c r="D3" s="53">
        <v>22.5</v>
      </c>
      <c r="E3" s="21" t="s">
        <v>129</v>
      </c>
      <c r="F3" s="21">
        <v>11.25</v>
      </c>
      <c r="G3" s="21">
        <v>33.75</v>
      </c>
      <c r="H3" s="1" t="s">
        <v>13</v>
      </c>
      <c r="I3">
        <v>135</v>
      </c>
      <c r="J3">
        <f>I3+22.5</f>
        <v>157.5</v>
      </c>
    </row>
    <row r="4" spans="1:10" ht="15" customHeight="1" x14ac:dyDescent="0.3">
      <c r="A4" s="21" t="s">
        <v>49</v>
      </c>
      <c r="B4" s="21" t="s">
        <v>50</v>
      </c>
      <c r="C4" s="21" t="s">
        <v>51</v>
      </c>
      <c r="D4" s="53">
        <v>45</v>
      </c>
      <c r="E4" s="21" t="s">
        <v>130</v>
      </c>
      <c r="F4" s="21">
        <v>33.75</v>
      </c>
      <c r="G4" s="21">
        <v>56.25</v>
      </c>
      <c r="H4" s="1" t="s">
        <v>14</v>
      </c>
      <c r="I4">
        <v>157.5</v>
      </c>
      <c r="J4">
        <f t="shared" ref="J4:J10" si="0">I4+22.5</f>
        <v>180</v>
      </c>
    </row>
    <row r="5" spans="1:10" ht="15" customHeight="1" x14ac:dyDescent="0.3">
      <c r="A5" s="21" t="s">
        <v>52</v>
      </c>
      <c r="B5" s="21" t="s">
        <v>53</v>
      </c>
      <c r="C5" s="21" t="s">
        <v>131</v>
      </c>
      <c r="D5" s="53">
        <v>67.5</v>
      </c>
      <c r="E5" s="21" t="s">
        <v>132</v>
      </c>
      <c r="F5" s="21">
        <v>56.25</v>
      </c>
      <c r="G5" s="21">
        <v>78.75</v>
      </c>
      <c r="H5" s="1" t="s">
        <v>15</v>
      </c>
      <c r="I5">
        <v>180</v>
      </c>
      <c r="J5">
        <f t="shared" si="0"/>
        <v>202.5</v>
      </c>
    </row>
    <row r="6" spans="1:10" ht="15" customHeight="1" x14ac:dyDescent="0.3">
      <c r="A6" s="21" t="s">
        <v>54</v>
      </c>
      <c r="B6" s="21" t="s">
        <v>55</v>
      </c>
      <c r="C6" s="21" t="s">
        <v>56</v>
      </c>
      <c r="D6" s="53">
        <v>90</v>
      </c>
      <c r="E6" s="21" t="s">
        <v>133</v>
      </c>
      <c r="F6" s="21">
        <v>78.75</v>
      </c>
      <c r="G6" s="21">
        <v>101.25</v>
      </c>
      <c r="H6" s="1" t="s">
        <v>16</v>
      </c>
      <c r="I6">
        <v>202.5</v>
      </c>
      <c r="J6">
        <f t="shared" si="0"/>
        <v>225</v>
      </c>
    </row>
    <row r="7" spans="1:10" ht="15" customHeight="1" x14ac:dyDescent="0.3">
      <c r="A7" s="21" t="s">
        <v>57</v>
      </c>
      <c r="B7" s="21" t="s">
        <v>58</v>
      </c>
      <c r="C7" s="21" t="s">
        <v>134</v>
      </c>
      <c r="D7" s="53">
        <v>112.5</v>
      </c>
      <c r="E7" s="21" t="s">
        <v>135</v>
      </c>
      <c r="F7" s="21">
        <v>101.25</v>
      </c>
      <c r="G7" s="21">
        <v>123.75</v>
      </c>
      <c r="H7" s="1" t="s">
        <v>17</v>
      </c>
      <c r="I7">
        <v>225</v>
      </c>
      <c r="J7">
        <f t="shared" si="0"/>
        <v>247.5</v>
      </c>
    </row>
    <row r="8" spans="1:10" ht="15" customHeight="1" x14ac:dyDescent="0.3">
      <c r="A8" s="21" t="s">
        <v>59</v>
      </c>
      <c r="B8" s="21" t="s">
        <v>13</v>
      </c>
      <c r="C8" s="21" t="s">
        <v>60</v>
      </c>
      <c r="D8" s="53">
        <v>135</v>
      </c>
      <c r="E8" s="21" t="s">
        <v>136</v>
      </c>
      <c r="F8" s="21">
        <v>123.75</v>
      </c>
      <c r="G8" s="21">
        <v>146.25</v>
      </c>
      <c r="H8" s="1" t="s">
        <v>18</v>
      </c>
      <c r="I8">
        <v>247.5</v>
      </c>
      <c r="J8">
        <f t="shared" si="0"/>
        <v>270</v>
      </c>
    </row>
    <row r="9" spans="1:10" ht="15" customHeight="1" x14ac:dyDescent="0.3">
      <c r="A9" s="21" t="s">
        <v>61</v>
      </c>
      <c r="B9" s="21" t="s">
        <v>14</v>
      </c>
      <c r="C9" s="21" t="s">
        <v>137</v>
      </c>
      <c r="D9" s="53">
        <v>157.5</v>
      </c>
      <c r="E9" s="21" t="s">
        <v>138</v>
      </c>
      <c r="F9" s="21">
        <v>146.25</v>
      </c>
      <c r="G9" s="21">
        <v>168.75</v>
      </c>
      <c r="H9" s="1" t="s">
        <v>19</v>
      </c>
      <c r="I9">
        <v>270</v>
      </c>
      <c r="J9">
        <f t="shared" si="0"/>
        <v>292.5</v>
      </c>
    </row>
    <row r="10" spans="1:10" ht="15" customHeight="1" x14ac:dyDescent="0.3">
      <c r="A10" s="21" t="s">
        <v>62</v>
      </c>
      <c r="B10" s="21" t="s">
        <v>15</v>
      </c>
      <c r="C10" s="21" t="s">
        <v>63</v>
      </c>
      <c r="D10" s="53">
        <v>180</v>
      </c>
      <c r="E10" s="21" t="s">
        <v>139</v>
      </c>
      <c r="F10" s="21">
        <v>168.75</v>
      </c>
      <c r="G10" s="21">
        <v>191.25</v>
      </c>
      <c r="H10" s="1" t="s">
        <v>20</v>
      </c>
      <c r="I10">
        <v>292.5</v>
      </c>
      <c r="J10">
        <f t="shared" si="0"/>
        <v>315</v>
      </c>
    </row>
    <row r="11" spans="1:10" ht="15" customHeight="1" x14ac:dyDescent="0.3">
      <c r="A11" s="21" t="s">
        <v>64</v>
      </c>
      <c r="B11" s="21" t="s">
        <v>16</v>
      </c>
      <c r="C11" s="21" t="s">
        <v>140</v>
      </c>
      <c r="D11" s="53">
        <v>202.5</v>
      </c>
      <c r="E11" s="21" t="s">
        <v>141</v>
      </c>
      <c r="F11" s="21">
        <v>191.25</v>
      </c>
      <c r="G11" s="21">
        <v>213.75</v>
      </c>
    </row>
    <row r="12" spans="1:10" ht="15" customHeight="1" x14ac:dyDescent="0.3">
      <c r="A12" s="21" t="s">
        <v>65</v>
      </c>
      <c r="B12" s="21" t="s">
        <v>17</v>
      </c>
      <c r="C12" s="21" t="s">
        <v>66</v>
      </c>
      <c r="D12" s="53">
        <v>225</v>
      </c>
      <c r="E12" s="21" t="s">
        <v>142</v>
      </c>
      <c r="F12" s="21">
        <v>213.75</v>
      </c>
      <c r="G12" s="21">
        <v>236.25</v>
      </c>
    </row>
    <row r="13" spans="1:10" ht="15" customHeight="1" x14ac:dyDescent="0.3">
      <c r="A13" s="21" t="s">
        <v>67</v>
      </c>
      <c r="B13" s="21" t="s">
        <v>18</v>
      </c>
      <c r="C13" s="21" t="s">
        <v>143</v>
      </c>
      <c r="D13" s="53">
        <v>247.5</v>
      </c>
      <c r="E13" s="21" t="s">
        <v>144</v>
      </c>
      <c r="F13" s="21">
        <v>236.25</v>
      </c>
      <c r="G13" s="21">
        <v>258.75</v>
      </c>
    </row>
    <row r="14" spans="1:10" ht="15" customHeight="1" x14ac:dyDescent="0.3">
      <c r="A14" s="21" t="s">
        <v>68</v>
      </c>
      <c r="B14" s="21" t="s">
        <v>19</v>
      </c>
      <c r="C14" s="21" t="s">
        <v>69</v>
      </c>
      <c r="D14" s="53">
        <v>270</v>
      </c>
      <c r="E14" s="21" t="s">
        <v>145</v>
      </c>
      <c r="F14" s="21">
        <v>258.75</v>
      </c>
      <c r="G14" s="21">
        <v>281.25</v>
      </c>
    </row>
    <row r="15" spans="1:10" ht="15" customHeight="1" x14ac:dyDescent="0.3">
      <c r="A15" s="21" t="s">
        <v>70</v>
      </c>
      <c r="B15" s="21" t="s">
        <v>20</v>
      </c>
      <c r="C15" s="21" t="s">
        <v>146</v>
      </c>
      <c r="D15" s="53">
        <v>292.5</v>
      </c>
      <c r="E15" s="21" t="s">
        <v>147</v>
      </c>
      <c r="F15" s="21">
        <v>281.25</v>
      </c>
      <c r="G15" s="21">
        <v>303.75</v>
      </c>
    </row>
    <row r="16" spans="1:10" ht="15" customHeight="1" x14ac:dyDescent="0.3">
      <c r="A16" s="21" t="s">
        <v>71</v>
      </c>
      <c r="B16" s="21" t="s">
        <v>74</v>
      </c>
      <c r="C16" s="21" t="s">
        <v>72</v>
      </c>
      <c r="D16" s="53">
        <v>315</v>
      </c>
      <c r="E16" s="21" t="s">
        <v>148</v>
      </c>
      <c r="F16" s="21">
        <v>303.75</v>
      </c>
      <c r="G16" s="21">
        <v>326.25</v>
      </c>
    </row>
    <row r="17" spans="1:7" ht="15" customHeight="1" x14ac:dyDescent="0.3">
      <c r="A17" s="21" t="s">
        <v>73</v>
      </c>
      <c r="B17" s="21" t="s">
        <v>75</v>
      </c>
      <c r="C17" s="21" t="s">
        <v>149</v>
      </c>
      <c r="D17" s="53">
        <v>337.5</v>
      </c>
      <c r="E17" s="21" t="s">
        <v>150</v>
      </c>
      <c r="F17" s="21">
        <v>326.25</v>
      </c>
      <c r="G17" s="21">
        <v>348.75</v>
      </c>
    </row>
    <row r="21" spans="1:7" x14ac:dyDescent="0.3">
      <c r="E21">
        <f>146.25+11.25</f>
        <v>157.5</v>
      </c>
    </row>
    <row r="22" spans="1:7" x14ac:dyDescent="0.3">
      <c r="E22">
        <f>168.75+11.25</f>
        <v>180</v>
      </c>
    </row>
  </sheetData>
  <autoFilter ref="H2:I10" xr:uid="{49545AE2-16F6-426C-A788-497AE3001D9C}">
    <sortState xmlns:xlrd2="http://schemas.microsoft.com/office/spreadsheetml/2017/richdata2" ref="H3:I10">
      <sortCondition ref="I2:I10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8"/>
  <sheetViews>
    <sheetView topLeftCell="A2" workbookViewId="0">
      <selection activeCell="B3" sqref="B3"/>
    </sheetView>
  </sheetViews>
  <sheetFormatPr baseColWidth="10" defaultRowHeight="14.4" x14ac:dyDescent="0.3"/>
  <cols>
    <col min="1" max="1" width="6.44140625" bestFit="1" customWidth="1"/>
    <col min="8" max="8" width="11.5546875" bestFit="1" customWidth="1"/>
    <col min="9" max="9" width="12.44140625" bestFit="1" customWidth="1"/>
  </cols>
  <sheetData>
    <row r="1" spans="1:9" ht="18" x14ac:dyDescent="0.3">
      <c r="A1" s="58" t="s">
        <v>28</v>
      </c>
      <c r="B1" s="58"/>
      <c r="C1" s="58"/>
      <c r="D1" s="58"/>
      <c r="E1" s="59" t="s">
        <v>29</v>
      </c>
      <c r="F1" s="59"/>
      <c r="G1" s="59"/>
      <c r="H1" s="58" t="s">
        <v>30</v>
      </c>
      <c r="I1" s="58"/>
    </row>
    <row r="2" spans="1:9" ht="15.6" x14ac:dyDescent="0.3">
      <c r="A2" s="13" t="s">
        <v>39</v>
      </c>
      <c r="B2" s="13" t="s">
        <v>31</v>
      </c>
      <c r="C2" s="13" t="s">
        <v>32</v>
      </c>
      <c r="D2" s="13" t="s">
        <v>33</v>
      </c>
      <c r="E2" s="14" t="s">
        <v>34</v>
      </c>
      <c r="F2" s="14" t="s">
        <v>35</v>
      </c>
      <c r="G2" s="14" t="s">
        <v>36</v>
      </c>
      <c r="H2" s="13" t="s">
        <v>37</v>
      </c>
      <c r="I2" s="15" t="s">
        <v>38</v>
      </c>
    </row>
    <row r="3" spans="1:9" ht="15.6" x14ac:dyDescent="0.3">
      <c r="A3" s="16" t="str">
        <f>TablaOcurrencia_APMT_16sectores!B2</f>
        <v>SSW</v>
      </c>
      <c r="B3" s="17">
        <f>0.5*(TablaOcurrencia_APMT_16sectores!C2+TablaOcurrencia_APMT_16sectores!D2)</f>
        <v>213.75</v>
      </c>
      <c r="C3" s="17">
        <f>0.5*(TablaOcurrencia_APMT_16sectores!E2+TablaOcurrencia_APMT_16sectores!F2)</f>
        <v>2.25</v>
      </c>
      <c r="D3" s="17">
        <f>0.5*(TablaOcurrencia_APMT_16sectores!G2+TablaOcurrencia_APMT_16sectores!H2)</f>
        <v>15</v>
      </c>
      <c r="E3" s="17">
        <v>213.64</v>
      </c>
      <c r="F3" s="17">
        <v>2.2400000000000002</v>
      </c>
      <c r="G3" s="17">
        <v>14.9</v>
      </c>
      <c r="H3" s="18">
        <f>TablaOcurrencia_APMT_16sectores!M2</f>
        <v>0.13708220584818115</v>
      </c>
      <c r="I3" s="19">
        <f>TablaOcurrencia_APMT_16sectores!N2</f>
        <v>50.035005134586122</v>
      </c>
    </row>
    <row r="4" spans="1:9" ht="15.6" x14ac:dyDescent="0.3">
      <c r="A4" s="16" t="str">
        <f>TablaOcurrencia_APMT_16sectores!B3</f>
        <v>SSW</v>
      </c>
      <c r="B4" s="17">
        <f>0.5*(TablaOcurrencia_APMT_16sectores!C3+TablaOcurrencia_APMT_16sectores!D3)</f>
        <v>213.75</v>
      </c>
      <c r="C4" s="17">
        <f>0.5*(TablaOcurrencia_APMT_16sectores!E3+TablaOcurrencia_APMT_16sectores!F3)</f>
        <v>1.75</v>
      </c>
      <c r="D4" s="17">
        <f>0.5*(TablaOcurrencia_APMT_16sectores!G3+TablaOcurrencia_APMT_16sectores!H3)</f>
        <v>13</v>
      </c>
      <c r="E4" s="17">
        <f>TablaOcurrencia_APMT_16sectores!K3</f>
        <v>213.897772100537</v>
      </c>
      <c r="F4" s="17">
        <f>TablaOcurrencia_APMT_16sectores!I3</f>
        <v>1.77506931246759</v>
      </c>
      <c r="G4" s="17">
        <f>TablaOcurrencia_APMT_16sectores!J3</f>
        <v>12.999481144190501</v>
      </c>
      <c r="H4" s="18">
        <f>TablaOcurrencia_APMT_16sectores!M3</f>
        <v>0.13300951709904629</v>
      </c>
      <c r="I4" s="19">
        <f>TablaOcurrencia_APMT_16sectores!N3</f>
        <v>48.548473741151895</v>
      </c>
    </row>
    <row r="5" spans="1:9" ht="15.6" x14ac:dyDescent="0.3">
      <c r="A5" s="16" t="str">
        <f>TablaOcurrencia_APMT_16sectores!B4</f>
        <v>SSW</v>
      </c>
      <c r="B5" s="17">
        <f>0.5*(TablaOcurrencia_APMT_16sectores!C4+TablaOcurrencia_APMT_16sectores!D4)</f>
        <v>213.75</v>
      </c>
      <c r="C5" s="17">
        <f>0.5*(TablaOcurrencia_APMT_16sectores!E4+TablaOcurrencia_APMT_16sectores!F4)</f>
        <v>1.75</v>
      </c>
      <c r="D5" s="17">
        <f>0.5*(TablaOcurrencia_APMT_16sectores!G4+TablaOcurrencia_APMT_16sectores!H4)</f>
        <v>15</v>
      </c>
      <c r="E5" s="17">
        <f>TablaOcurrencia_APMT_16sectores!K4</f>
        <v>215.808849557522</v>
      </c>
      <c r="F5" s="17">
        <f>TablaOcurrencia_APMT_16sectores!I4</f>
        <v>1.8245774433027799</v>
      </c>
      <c r="G5" s="17">
        <f>TablaOcurrencia_APMT_16sectores!J4</f>
        <v>14.753956067698001</v>
      </c>
      <c r="H5" s="18">
        <f>TablaOcurrencia_APMT_16sectores!M4</f>
        <v>7.9055136210200716E-2</v>
      </c>
      <c r="I5" s="19">
        <f>TablaOcurrencia_APMT_16sectores!N4</f>
        <v>28.85512471672326</v>
      </c>
    </row>
    <row r="6" spans="1:9" ht="15.6" x14ac:dyDescent="0.3">
      <c r="A6" s="16" t="str">
        <f>TablaOcurrencia_APMT_16sectores!B5</f>
        <v>SSW</v>
      </c>
      <c r="B6" s="17">
        <f>0.5*(TablaOcurrencia_APMT_16sectores!C5+TablaOcurrencia_APMT_16sectores!D5)</f>
        <v>213.75</v>
      </c>
      <c r="C6" s="17">
        <f>0.5*(TablaOcurrencia_APMT_16sectores!E5+TablaOcurrencia_APMT_16sectores!F5)</f>
        <v>2.25</v>
      </c>
      <c r="D6" s="17">
        <f>0.5*(TablaOcurrencia_APMT_16sectores!G5+TablaOcurrencia_APMT_16sectores!H5)</f>
        <v>13</v>
      </c>
      <c r="E6" s="17">
        <f>TablaOcurrencia_APMT_16sectores!K5</f>
        <v>212.06464992389601</v>
      </c>
      <c r="F6" s="17">
        <f>TablaOcurrencia_APMT_16sectores!I5</f>
        <v>2.1893836361567698</v>
      </c>
      <c r="G6" s="17">
        <f>TablaOcurrencia_APMT_16sectores!J5</f>
        <v>13.2102442522371</v>
      </c>
      <c r="H6" s="18">
        <f>TablaOcurrencia_APMT_16sectores!M5</f>
        <v>6.5662736397094648E-2</v>
      </c>
      <c r="I6" s="19">
        <f>TablaOcurrencia_APMT_16sectores!N5</f>
        <v>23.966898784939549</v>
      </c>
    </row>
    <row r="7" spans="1:9" ht="15.6" x14ac:dyDescent="0.3">
      <c r="A7" s="16" t="str">
        <f>TablaOcurrencia_APMT_16sectores!B6</f>
        <v>SSW</v>
      </c>
      <c r="B7" s="17">
        <f>0.5*(TablaOcurrencia_APMT_16sectores!C6+TablaOcurrencia_APMT_16sectores!D6)</f>
        <v>213.75</v>
      </c>
      <c r="C7" s="17">
        <f>0.5*(TablaOcurrencia_APMT_16sectores!E6+TablaOcurrencia_APMT_16sectores!F6)</f>
        <v>2.75</v>
      </c>
      <c r="D7" s="17">
        <f>0.5*(TablaOcurrencia_APMT_16sectores!G6+TablaOcurrencia_APMT_16sectores!H6)</f>
        <v>15</v>
      </c>
      <c r="E7" s="17">
        <f>TablaOcurrencia_APMT_16sectores!K6</f>
        <v>211.743958801003</v>
      </c>
      <c r="F7" s="17">
        <f>TablaOcurrencia_APMT_16sectores!I6</f>
        <v>2.6964909594920501</v>
      </c>
      <c r="G7" s="17">
        <f>TablaOcurrencia_APMT_16sectores!J6</f>
        <v>15.12672456496</v>
      </c>
      <c r="H7" s="18">
        <f>TablaOcurrencia_APMT_16sectores!M6</f>
        <v>5.6765285700365042E-2</v>
      </c>
      <c r="I7" s="19">
        <f>TablaOcurrencia_APMT_16sectores!N6</f>
        <v>20.719329280633239</v>
      </c>
    </row>
    <row r="8" spans="1:9" ht="15.6" x14ac:dyDescent="0.3">
      <c r="A8" s="16" t="str">
        <f>TablaOcurrencia_APMT_16sectores!B7</f>
        <v>SSW</v>
      </c>
      <c r="B8" s="17">
        <f>0.5*(TablaOcurrencia_APMT_16sectores!C7+TablaOcurrencia_APMT_16sectores!D7)</f>
        <v>213.75</v>
      </c>
      <c r="C8" s="17">
        <f>0.5*(TablaOcurrencia_APMT_16sectores!E7+TablaOcurrencia_APMT_16sectores!F7)</f>
        <v>2.25</v>
      </c>
      <c r="D8" s="17">
        <f>0.5*(TablaOcurrencia_APMT_16sectores!G7+TablaOcurrencia_APMT_16sectores!H7)</f>
        <v>17</v>
      </c>
      <c r="E8" s="17">
        <f>TablaOcurrencia_APMT_16sectores!K7</f>
        <v>215.72799097065399</v>
      </c>
      <c r="F8" s="17">
        <f>TablaOcurrencia_APMT_16sectores!I7</f>
        <v>2.2587587928642998</v>
      </c>
      <c r="G8" s="17">
        <f>TablaOcurrencia_APMT_16sectores!J7</f>
        <v>16.913895825631901</v>
      </c>
      <c r="H8" s="18">
        <f>TablaOcurrencia_APMT_16sectores!M7</f>
        <v>3.9847386608099902E-2</v>
      </c>
      <c r="I8" s="19">
        <f>TablaOcurrencia_APMT_16sectores!N7</f>
        <v>14.544296111956465</v>
      </c>
    </row>
    <row r="9" spans="1:9" ht="15.6" x14ac:dyDescent="0.3">
      <c r="A9" s="16" t="str">
        <f>TablaOcurrencia_APMT_16sectores!B8</f>
        <v>SSW</v>
      </c>
      <c r="B9" s="17">
        <f>0.5*(TablaOcurrencia_APMT_16sectores!C8+TablaOcurrencia_APMT_16sectores!D8)</f>
        <v>213.75</v>
      </c>
      <c r="C9" s="17">
        <f>0.5*(TablaOcurrencia_APMT_16sectores!E8+TablaOcurrencia_APMT_16sectores!F8)</f>
        <v>2.75</v>
      </c>
      <c r="D9" s="17">
        <f>0.5*(TablaOcurrencia_APMT_16sectores!G8+TablaOcurrencia_APMT_16sectores!H8)</f>
        <v>17</v>
      </c>
      <c r="E9" s="17">
        <f>TablaOcurrencia_APMT_16sectores!K8</f>
        <v>213.42543458371401</v>
      </c>
      <c r="F9" s="17">
        <f>TablaOcurrencia_APMT_16sectores!I8</f>
        <v>2.7150069993595598</v>
      </c>
      <c r="G9" s="17">
        <f>TablaOcurrencia_APMT_16sectores!J8</f>
        <v>16.8556571981185</v>
      </c>
      <c r="H9" s="18">
        <f>TablaOcurrencia_APMT_16sectores!M8</f>
        <v>3.0040452043465334E-2</v>
      </c>
      <c r="I9" s="19">
        <f>TablaOcurrencia_APMT_16sectores!N8</f>
        <v>10.964764995864847</v>
      </c>
    </row>
    <row r="10" spans="1:9" ht="15.6" x14ac:dyDescent="0.3">
      <c r="A10" s="16" t="str">
        <f>TablaOcurrencia_APMT_16sectores!B9</f>
        <v>SW</v>
      </c>
      <c r="B10" s="17">
        <f>0.5*(TablaOcurrencia_APMT_16sectores!C9+TablaOcurrencia_APMT_16sectores!D9)</f>
        <v>236.25</v>
      </c>
      <c r="C10" s="17">
        <f>0.5*(TablaOcurrencia_APMT_16sectores!E9+TablaOcurrencia_APMT_16sectores!F9)</f>
        <v>1.75</v>
      </c>
      <c r="D10" s="17">
        <f>0.5*(TablaOcurrencia_APMT_16sectores!G9+TablaOcurrencia_APMT_16sectores!H9)</f>
        <v>15</v>
      </c>
      <c r="E10" s="17">
        <f>TablaOcurrencia_APMT_16sectores!K9</f>
        <v>232.861193876502</v>
      </c>
      <c r="F10" s="17">
        <f>TablaOcurrencia_APMT_16sectores!I9</f>
        <v>1.79157409851022</v>
      </c>
      <c r="G10" s="17">
        <f>TablaOcurrencia_APMT_16sectores!J9</f>
        <v>14.7587747309426</v>
      </c>
      <c r="H10" s="18">
        <f>TablaOcurrencia_APMT_16sectores!M9</f>
        <v>2.4318699138239048E-2</v>
      </c>
      <c r="I10" s="19">
        <f>TablaOcurrencia_APMT_16sectores!N9</f>
        <v>8.8763251854572527</v>
      </c>
    </row>
    <row r="11" spans="1:9" ht="15.6" x14ac:dyDescent="0.3">
      <c r="A11" s="16" t="str">
        <f>TablaOcurrencia_APMT_16sectores!B10</f>
        <v>SSW</v>
      </c>
      <c r="B11" s="17">
        <f>0.5*(TablaOcurrencia_APMT_16sectores!C10+TablaOcurrencia_APMT_16sectores!D10)</f>
        <v>213.75</v>
      </c>
      <c r="C11" s="17">
        <f>0.5*(TablaOcurrencia_APMT_16sectores!E10+TablaOcurrencia_APMT_16sectores!F10)</f>
        <v>1.75</v>
      </c>
      <c r="D11" s="17">
        <f>0.5*(TablaOcurrencia_APMT_16sectores!G10+TablaOcurrencia_APMT_16sectores!H10)</f>
        <v>17</v>
      </c>
      <c r="E11" s="17">
        <f>TablaOcurrencia_APMT_16sectores!K10</f>
        <v>217.01739644970399</v>
      </c>
      <c r="F11" s="17">
        <f>TablaOcurrencia_APMT_16sectores!I10</f>
        <v>1.8198123799053201</v>
      </c>
      <c r="G11" s="17">
        <f>TablaOcurrencia_APMT_16sectores!J10</f>
        <v>16.915844916425002</v>
      </c>
      <c r="H11" s="18">
        <f>TablaOcurrencia_APMT_16sectores!M10</f>
        <v>2.111301836207952E-2</v>
      </c>
      <c r="I11" s="19">
        <f>TablaOcurrencia_APMT_16sectores!N10</f>
        <v>7.7062517021590251</v>
      </c>
    </row>
    <row r="12" spans="1:9" ht="15.6" x14ac:dyDescent="0.3">
      <c r="A12" s="16" t="str">
        <f>TablaOcurrencia_APMT_16sectores!B11</f>
        <v>SW</v>
      </c>
      <c r="B12" s="17">
        <f>0.5*(TablaOcurrencia_APMT_16sectores!C11+TablaOcurrencia_APMT_16sectores!D11)</f>
        <v>236.25</v>
      </c>
      <c r="C12" s="17">
        <f>0.5*(TablaOcurrencia_APMT_16sectores!E11+TablaOcurrencia_APMT_16sectores!F11)</f>
        <v>1.75</v>
      </c>
      <c r="D12" s="17">
        <f>0.5*(TablaOcurrencia_APMT_16sectores!G11+TablaOcurrencia_APMT_16sectores!H11)</f>
        <v>13</v>
      </c>
      <c r="E12" s="17">
        <f>TablaOcurrencia_APMT_16sectores!K11</f>
        <v>230.51222493887499</v>
      </c>
      <c r="F12" s="17">
        <f>TablaOcurrencia_APMT_16sectores!I11</f>
        <v>1.7224034917006199</v>
      </c>
      <c r="G12" s="17">
        <f>TablaOcurrencia_APMT_16sectores!J11</f>
        <v>13.1677084307182</v>
      </c>
      <c r="H12" s="18">
        <f>TablaOcurrencia_APMT_16sectores!M11</f>
        <v>1.8394561086583362E-2</v>
      </c>
      <c r="I12" s="19">
        <f>TablaOcurrencia_APMT_16sectores!N11</f>
        <v>6.7140147966029282</v>
      </c>
    </row>
    <row r="13" spans="1:9" ht="15.6" x14ac:dyDescent="0.3">
      <c r="A13" s="16" t="str">
        <f>TablaOcurrencia_APMT_16sectores!B12</f>
        <v>SSW</v>
      </c>
      <c r="B13" s="17">
        <f>0.5*(TablaOcurrencia_APMT_16sectores!C12+TablaOcurrencia_APMT_16sectores!D12)</f>
        <v>213.75</v>
      </c>
      <c r="C13" s="17">
        <f>0.5*(TablaOcurrencia_APMT_16sectores!E12+TablaOcurrencia_APMT_16sectores!F12)</f>
        <v>1.75</v>
      </c>
      <c r="D13" s="17">
        <f>0.5*(TablaOcurrencia_APMT_16sectores!G12+TablaOcurrencia_APMT_16sectores!H12)</f>
        <v>11</v>
      </c>
      <c r="E13" s="17">
        <f>TablaOcurrencia_APMT_16sectores!K12</f>
        <v>211.383353833538</v>
      </c>
      <c r="F13" s="17">
        <f>TablaOcurrencia_APMT_16sectores!I12</f>
        <v>1.69981720587672</v>
      </c>
      <c r="G13" s="17">
        <f>TablaOcurrencia_APMT_16sectores!J12</f>
        <v>11.5435321244462</v>
      </c>
      <c r="H13" s="18">
        <f>TablaOcurrencia_APMT_16sectores!M12</f>
        <v>1.8282124894122585E-2</v>
      </c>
      <c r="I13" s="19">
        <f>TablaOcurrencia_APMT_16sectores!N12</f>
        <v>6.6729755863547435</v>
      </c>
    </row>
    <row r="14" spans="1:9" ht="15.6" x14ac:dyDescent="0.3">
      <c r="A14" s="16" t="str">
        <f>TablaOcurrencia_APMT_16sectores!B13</f>
        <v>S</v>
      </c>
      <c r="B14" s="17">
        <f>0.5*(TablaOcurrencia_APMT_16sectores!C13+TablaOcurrencia_APMT_16sectores!D13)</f>
        <v>191.25</v>
      </c>
      <c r="C14" s="17">
        <f>0.5*(TablaOcurrencia_APMT_16sectores!E13+TablaOcurrencia_APMT_16sectores!F13)</f>
        <v>2.25</v>
      </c>
      <c r="D14" s="17">
        <f>0.5*(TablaOcurrencia_APMT_16sectores!G13+TablaOcurrencia_APMT_16sectores!H13)</f>
        <v>13</v>
      </c>
      <c r="E14" s="17">
        <f>TablaOcurrencia_APMT_16sectores!K13</f>
        <v>198.14217598612899</v>
      </c>
      <c r="F14" s="17">
        <f>TablaOcurrencia_APMT_16sectores!I13</f>
        <v>2.2113065330299002</v>
      </c>
      <c r="G14" s="17">
        <f>TablaOcurrencia_APMT_16sectores!J13</f>
        <v>13.005869171855901</v>
      </c>
      <c r="H14" s="18">
        <f>TablaOcurrencia_APMT_16sectores!M13</f>
        <v>1.7292686400467733E-2</v>
      </c>
      <c r="I14" s="19">
        <f>TablaOcurrencia_APMT_16sectores!N13</f>
        <v>6.3118305361707234</v>
      </c>
    </row>
    <row r="15" spans="1:9" ht="15.6" x14ac:dyDescent="0.3">
      <c r="A15" s="16" t="str">
        <f>TablaOcurrencia_APMT_16sectores!B14</f>
        <v>S</v>
      </c>
      <c r="B15" s="17">
        <f>0.5*(TablaOcurrencia_APMT_16sectores!C14+TablaOcurrencia_APMT_16sectores!D14)</f>
        <v>191.25</v>
      </c>
      <c r="C15" s="17">
        <f>0.5*(TablaOcurrencia_APMT_16sectores!E14+TablaOcurrencia_APMT_16sectores!F14)</f>
        <v>2.25</v>
      </c>
      <c r="D15" s="17">
        <f>0.5*(TablaOcurrencia_APMT_16sectores!G14+TablaOcurrencia_APMT_16sectores!H14)</f>
        <v>15</v>
      </c>
      <c r="E15" s="17">
        <f>TablaOcurrencia_APMT_16sectores!K14</f>
        <v>198.409864944216</v>
      </c>
      <c r="F15" s="17">
        <f>TablaOcurrencia_APMT_16sectores!I14</f>
        <v>2.2643247973282401</v>
      </c>
      <c r="G15" s="17">
        <f>TablaOcurrencia_APMT_16sectores!J14</f>
        <v>14.8035553366513</v>
      </c>
      <c r="H15" s="18">
        <f>TablaOcurrencia_APMT_16sectores!M14</f>
        <v>1.7020340956507181E-2</v>
      </c>
      <c r="I15" s="19">
        <f>TablaOcurrencia_APMT_16sectores!N14</f>
        <v>6.2124244491251215</v>
      </c>
    </row>
    <row r="16" spans="1:9" ht="15.6" x14ac:dyDescent="0.3">
      <c r="A16" s="16" t="str">
        <f>TablaOcurrencia_APMT_16sectores!B15</f>
        <v>SW</v>
      </c>
      <c r="B16" s="17">
        <f>0.5*(TablaOcurrencia_APMT_16sectores!C15+TablaOcurrencia_APMT_16sectores!D15)</f>
        <v>236.25</v>
      </c>
      <c r="C16" s="17">
        <f>0.5*(TablaOcurrencia_APMT_16sectores!E15+TablaOcurrencia_APMT_16sectores!F15)</f>
        <v>2.25</v>
      </c>
      <c r="D16" s="17">
        <f>0.5*(TablaOcurrencia_APMT_16sectores!G15+TablaOcurrencia_APMT_16sectores!H15)</f>
        <v>15</v>
      </c>
      <c r="E16" s="17">
        <f>TablaOcurrencia_APMT_16sectores!K15</f>
        <v>231.00989945862301</v>
      </c>
      <c r="F16" s="17">
        <f>TablaOcurrencia_APMT_16sectores!I15</f>
        <v>2.1838862303634898</v>
      </c>
      <c r="G16" s="17">
        <f>TablaOcurrencia_APMT_16sectores!J15</f>
        <v>15.00470039366</v>
      </c>
      <c r="H16" s="18">
        <f>TablaOcurrencia_APMT_16sectores!M15</f>
        <v>1.6153332983531846E-2</v>
      </c>
      <c r="I16" s="19">
        <f>TablaOcurrencia_APMT_16sectores!N15</f>
        <v>5.895966538989124</v>
      </c>
    </row>
    <row r="17" spans="1:9" ht="15.6" x14ac:dyDescent="0.3">
      <c r="A17" s="16" t="str">
        <f>TablaOcurrencia_APMT_16sectores!B16</f>
        <v>SSW</v>
      </c>
      <c r="B17" s="17">
        <f>0.5*(TablaOcurrencia_APMT_16sectores!C16+TablaOcurrencia_APMT_16sectores!D16)</f>
        <v>213.75</v>
      </c>
      <c r="C17" s="17">
        <f>0.5*(TablaOcurrencia_APMT_16sectores!E16+TablaOcurrencia_APMT_16sectores!F16)</f>
        <v>1.25</v>
      </c>
      <c r="D17" s="17">
        <f>0.5*(TablaOcurrencia_APMT_16sectores!G16+TablaOcurrencia_APMT_16sectores!H16)</f>
        <v>13</v>
      </c>
      <c r="E17" s="17">
        <f>TablaOcurrencia_APMT_16sectores!K16</f>
        <v>215.54063664070401</v>
      </c>
      <c r="F17" s="17">
        <f>TablaOcurrencia_APMT_16sectores!I16</f>
        <v>1.3955537290721201</v>
      </c>
      <c r="G17" s="17">
        <f>TablaOcurrencia_APMT_16sectores!J16</f>
        <v>12.684611389282001</v>
      </c>
      <c r="H17" s="18">
        <f>TablaOcurrencia_APMT_16sectores!M16</f>
        <v>1.4756625614963508E-2</v>
      </c>
      <c r="I17" s="19">
        <f>TablaOcurrencia_APMT_16sectores!N16</f>
        <v>5.3861683494616805</v>
      </c>
    </row>
    <row r="18" spans="1:9" ht="15.6" x14ac:dyDescent="0.3">
      <c r="A18" s="16" t="str">
        <f>TablaOcurrencia_APMT_16sectores!B17</f>
        <v>S</v>
      </c>
      <c r="B18" s="17">
        <f>0.5*(TablaOcurrencia_APMT_16sectores!C17+TablaOcurrencia_APMT_16sectores!D17)</f>
        <v>191.25</v>
      </c>
      <c r="C18" s="17">
        <f>0.5*(TablaOcurrencia_APMT_16sectores!E17+TablaOcurrencia_APMT_16sectores!F17)</f>
        <v>1.75</v>
      </c>
      <c r="D18" s="17">
        <f>0.5*(TablaOcurrencia_APMT_16sectores!G17+TablaOcurrencia_APMT_16sectores!H17)</f>
        <v>11</v>
      </c>
      <c r="E18" s="17">
        <f>TablaOcurrencia_APMT_16sectores!K17</f>
        <v>193.80447786703101</v>
      </c>
      <c r="F18" s="17">
        <f>TablaOcurrencia_APMT_16sectores!I17</f>
        <v>1.77538650182874</v>
      </c>
      <c r="G18" s="17">
        <f>TablaOcurrencia_APMT_16sectores!J17</f>
        <v>11.1044255014816</v>
      </c>
      <c r="H18" s="18">
        <f>TablaOcurrencia_APMT_16sectores!M17</f>
        <v>1.461920360195589E-2</v>
      </c>
      <c r="I18" s="19">
        <f>TablaOcurrencia_APMT_16sectores!N17</f>
        <v>5.3360093147139001</v>
      </c>
    </row>
    <row r="19" spans="1:9" ht="15.6" x14ac:dyDescent="0.3">
      <c r="A19" s="16" t="str">
        <f>TablaOcurrencia_APMT_16sectores!B18</f>
        <v>S</v>
      </c>
      <c r="B19" s="17">
        <f>0.5*(TablaOcurrencia_APMT_16sectores!C18+TablaOcurrencia_APMT_16sectores!D18)</f>
        <v>191.25</v>
      </c>
      <c r="C19" s="17">
        <f>0.5*(TablaOcurrencia_APMT_16sectores!E18+TablaOcurrencia_APMT_16sectores!F18)</f>
        <v>1.75</v>
      </c>
      <c r="D19" s="17">
        <f>0.5*(TablaOcurrencia_APMT_16sectores!G18+TablaOcurrencia_APMT_16sectores!H18)</f>
        <v>13</v>
      </c>
      <c r="E19" s="17">
        <f>TablaOcurrencia_APMT_16sectores!K18</f>
        <v>198.77898679985699</v>
      </c>
      <c r="F19" s="17">
        <f>TablaOcurrencia_APMT_16sectores!I18</f>
        <v>1.8147242958794101</v>
      </c>
      <c r="G19" s="17">
        <f>TablaOcurrencia_APMT_16sectores!J18</f>
        <v>12.800105804362801</v>
      </c>
      <c r="H19" s="18">
        <f>TablaOcurrencia_APMT_16sectores!M18</f>
        <v>1.4007050998558318E-2</v>
      </c>
      <c r="I19" s="19">
        <f>TablaOcurrencia_APMT_16sectores!N18</f>
        <v>5.1125736144737859</v>
      </c>
    </row>
    <row r="20" spans="1:9" ht="15.6" x14ac:dyDescent="0.3">
      <c r="A20" s="16" t="str">
        <f>TablaOcurrencia_APMT_16sectores!B19</f>
        <v>SSW</v>
      </c>
      <c r="B20" s="17">
        <f>0.5*(TablaOcurrencia_APMT_16sectores!C19+TablaOcurrencia_APMT_16sectores!D19)</f>
        <v>213.75</v>
      </c>
      <c r="C20" s="17">
        <f>0.5*(TablaOcurrencia_APMT_16sectores!E19+TablaOcurrencia_APMT_16sectores!F19)</f>
        <v>3.25</v>
      </c>
      <c r="D20" s="17">
        <f>0.5*(TablaOcurrencia_APMT_16sectores!G19+TablaOcurrencia_APMT_16sectores!H19)</f>
        <v>15</v>
      </c>
      <c r="E20" s="17">
        <f>TablaOcurrencia_APMT_16sectores!K19</f>
        <v>210.73758731357299</v>
      </c>
      <c r="F20" s="17">
        <f>TablaOcurrencia_APMT_16sectores!I19</f>
        <v>3.17945150622994</v>
      </c>
      <c r="G20" s="17">
        <f>TablaOcurrencia_APMT_16sectores!J19</f>
        <v>15.237053370917801</v>
      </c>
      <c r="H20" s="18">
        <f>TablaOcurrencia_APMT_16sectores!M19</f>
        <v>1.3234989143660973E-2</v>
      </c>
      <c r="I20" s="19">
        <f>TablaOcurrencia_APMT_16sectores!N19</f>
        <v>4.8307710374362554</v>
      </c>
    </row>
    <row r="21" spans="1:9" ht="15.6" x14ac:dyDescent="0.3">
      <c r="A21" s="16" t="str">
        <f>TablaOcurrencia_APMT_16sectores!B20</f>
        <v>S</v>
      </c>
      <c r="B21" s="17">
        <f>0.5*(TablaOcurrencia_APMT_16sectores!C20+TablaOcurrencia_APMT_16sectores!D20)</f>
        <v>191.25</v>
      </c>
      <c r="C21" s="17">
        <f>0.5*(TablaOcurrencia_APMT_16sectores!E20+TablaOcurrencia_APMT_16sectores!F20)</f>
        <v>2.75</v>
      </c>
      <c r="D21" s="17">
        <f>0.5*(TablaOcurrencia_APMT_16sectores!G20+TablaOcurrencia_APMT_16sectores!H20)</f>
        <v>15</v>
      </c>
      <c r="E21" s="17">
        <f>TablaOcurrencia_APMT_16sectores!K20</f>
        <v>198.524463876743</v>
      </c>
      <c r="F21" s="17">
        <f>TablaOcurrencia_APMT_16sectores!I20</f>
        <v>2.7187200613991198</v>
      </c>
      <c r="G21" s="17">
        <f>TablaOcurrencia_APMT_16sectores!J20</f>
        <v>14.964506623911699</v>
      </c>
      <c r="H21" s="18">
        <f>TablaOcurrencia_APMT_16sectores!M20</f>
        <v>1.2000689608647093E-2</v>
      </c>
      <c r="I21" s="19">
        <f>TablaOcurrencia_APMT_16sectores!N20</f>
        <v>4.3802517071561891</v>
      </c>
    </row>
    <row r="22" spans="1:9" ht="15.6" x14ac:dyDescent="0.3">
      <c r="A22" s="16" t="str">
        <f>TablaOcurrencia_APMT_16sectores!B21</f>
        <v>SSW</v>
      </c>
      <c r="B22" s="17">
        <f>0.5*(TablaOcurrencia_APMT_16sectores!C21+TablaOcurrencia_APMT_16sectores!D21)</f>
        <v>213.75</v>
      </c>
      <c r="C22" s="17">
        <f>0.5*(TablaOcurrencia_APMT_16sectores!E21+TablaOcurrencia_APMT_16sectores!F21)</f>
        <v>3.25</v>
      </c>
      <c r="D22" s="17">
        <f>0.5*(TablaOcurrencia_APMT_16sectores!G21+TablaOcurrencia_APMT_16sectores!H21)</f>
        <v>17</v>
      </c>
      <c r="E22" s="17">
        <f>TablaOcurrencia_APMT_16sectores!K21</f>
        <v>211.97544973544899</v>
      </c>
      <c r="F22" s="17">
        <f>TablaOcurrencia_APMT_16sectores!I21</f>
        <v>3.2147616049100498</v>
      </c>
      <c r="G22" s="17">
        <f>TablaOcurrencia_APMT_16sectores!J21</f>
        <v>16.926755076659202</v>
      </c>
      <c r="H22" s="18">
        <f>TablaOcurrencia_APMT_16sectores!M21</f>
        <v>1.1805800208381744E-2</v>
      </c>
      <c r="I22" s="19">
        <f>TablaOcurrencia_APMT_16sectores!N21</f>
        <v>4.3091170760593362</v>
      </c>
    </row>
    <row r="23" spans="1:9" ht="15.6" x14ac:dyDescent="0.3">
      <c r="A23" s="16" t="str">
        <f>TablaOcurrencia_APMT_16sectores!B22</f>
        <v>SSW</v>
      </c>
      <c r="B23" s="17">
        <f>0.5*(TablaOcurrencia_APMT_16sectores!C22+TablaOcurrencia_APMT_16sectores!D22)</f>
        <v>213.75</v>
      </c>
      <c r="C23" s="17">
        <f>0.5*(TablaOcurrencia_APMT_16sectores!E22+TablaOcurrencia_APMT_16sectores!F22)</f>
        <v>2.75</v>
      </c>
      <c r="D23" s="17">
        <f>0.5*(TablaOcurrencia_APMT_16sectores!G22+TablaOcurrencia_APMT_16sectores!H22)</f>
        <v>13</v>
      </c>
      <c r="E23" s="17">
        <f>TablaOcurrencia_APMT_16sectores!K22</f>
        <v>210.05823591923399</v>
      </c>
      <c r="F23" s="17">
        <f>TablaOcurrencia_APMT_16sectores!I22</f>
        <v>2.66433887989372</v>
      </c>
      <c r="G23" s="17">
        <f>TablaOcurrencia_APMT_16sectores!J22</f>
        <v>13.2829281313942</v>
      </c>
      <c r="H23" s="18">
        <f>TablaOcurrencia_APMT_16sectores!M22</f>
        <v>1.1755828567288063E-2</v>
      </c>
      <c r="I23" s="19">
        <f>TablaOcurrencia_APMT_16sectores!N22</f>
        <v>4.2908774270601437</v>
      </c>
    </row>
    <row r="24" spans="1:9" ht="15.6" x14ac:dyDescent="0.3">
      <c r="A24" s="16" t="str">
        <f>TablaOcurrencia_APMT_16sectores!B23</f>
        <v>SSW</v>
      </c>
      <c r="B24" s="17">
        <f>0.5*(TablaOcurrencia_APMT_16sectores!C23+TablaOcurrencia_APMT_16sectores!D23)</f>
        <v>213.75</v>
      </c>
      <c r="C24" s="17">
        <f>0.5*(TablaOcurrencia_APMT_16sectores!E23+TablaOcurrencia_APMT_16sectores!F23)</f>
        <v>2.25</v>
      </c>
      <c r="D24" s="17">
        <f>0.5*(TablaOcurrencia_APMT_16sectores!G23+TablaOcurrencia_APMT_16sectores!H23)</f>
        <v>19</v>
      </c>
      <c r="E24" s="17">
        <f>TablaOcurrencia_APMT_16sectores!K23</f>
        <v>216.286895514908</v>
      </c>
      <c r="F24" s="17">
        <f>TablaOcurrencia_APMT_16sectores!I23</f>
        <v>2.2504981952894001</v>
      </c>
      <c r="G24" s="17">
        <f>TablaOcurrencia_APMT_16sectores!J23</f>
        <v>19.138893191455299</v>
      </c>
      <c r="H24" s="18">
        <f>TablaOcurrencia_APMT_16sectores!M23</f>
        <v>9.9718409802437118E-3</v>
      </c>
      <c r="I24" s="19">
        <f>TablaOcurrencia_APMT_16sectores!N23</f>
        <v>3.6397219577889546</v>
      </c>
    </row>
    <row r="25" spans="1:9" ht="15.6" x14ac:dyDescent="0.3">
      <c r="A25" s="16" t="str">
        <f>TablaOcurrencia_APMT_16sectores!B24</f>
        <v>SSW</v>
      </c>
      <c r="B25" s="17">
        <f>0.5*(TablaOcurrencia_APMT_16sectores!C24+TablaOcurrencia_APMT_16sectores!D24)</f>
        <v>213.75</v>
      </c>
      <c r="C25" s="17">
        <f>0.5*(TablaOcurrencia_APMT_16sectores!E24+TablaOcurrencia_APMT_16sectores!F24)</f>
        <v>1.25</v>
      </c>
      <c r="D25" s="17">
        <f>0.5*(TablaOcurrencia_APMT_16sectores!G24+TablaOcurrencia_APMT_16sectores!H24)</f>
        <v>11</v>
      </c>
      <c r="E25" s="17">
        <f>TablaOcurrencia_APMT_16sectores!K24</f>
        <v>213.16184821889499</v>
      </c>
      <c r="F25" s="17">
        <f>TablaOcurrencia_APMT_16sectores!I24</f>
        <v>1.3701740352607099</v>
      </c>
      <c r="G25" s="17">
        <f>TablaOcurrencia_APMT_16sectores!J24</f>
        <v>11.3871103743655</v>
      </c>
      <c r="H25" s="18">
        <f>TablaOcurrencia_APMT_16sectores!M24</f>
        <v>9.6795068798456868E-3</v>
      </c>
      <c r="I25" s="19">
        <f>TablaOcurrencia_APMT_16sectores!N24</f>
        <v>3.5330200111436758</v>
      </c>
    </row>
    <row r="26" spans="1:9" ht="15.6" x14ac:dyDescent="0.3">
      <c r="A26" s="16" t="str">
        <f>TablaOcurrencia_APMT_16sectores!B25</f>
        <v>WNW</v>
      </c>
      <c r="B26" s="17">
        <f>0.5*(TablaOcurrencia_APMT_16sectores!C25+TablaOcurrencia_APMT_16sectores!D25)</f>
        <v>303.75</v>
      </c>
      <c r="C26" s="17">
        <f>0.5*(TablaOcurrencia_APMT_16sectores!E25+TablaOcurrencia_APMT_16sectores!F25)</f>
        <v>1.75</v>
      </c>
      <c r="D26" s="17">
        <f>0.5*(TablaOcurrencia_APMT_16sectores!G25+TablaOcurrencia_APMT_16sectores!H25)</f>
        <v>17</v>
      </c>
      <c r="E26" s="17">
        <f>TablaOcurrencia_APMT_16sectores!K25</f>
        <v>300.95438875629799</v>
      </c>
      <c r="F26" s="17">
        <f>TablaOcurrencia_APMT_16sectores!I25</f>
        <v>1.75278023362503</v>
      </c>
      <c r="G26" s="17">
        <f>TablaOcurrencia_APMT_16sectores!J25</f>
        <v>17.231292903544102</v>
      </c>
      <c r="H26" s="18">
        <f>TablaOcurrencia_APMT_16sectores!M25</f>
        <v>9.4221529282132385E-3</v>
      </c>
      <c r="I26" s="19">
        <f>TablaOcurrencia_APMT_16sectores!N25</f>
        <v>3.4390858187978322</v>
      </c>
    </row>
    <row r="27" spans="1:9" ht="15.6" x14ac:dyDescent="0.3">
      <c r="A27" s="16" t="str">
        <f>TablaOcurrencia_APMT_16sectores!B26</f>
        <v>S</v>
      </c>
      <c r="B27" s="17">
        <f>0.5*(TablaOcurrencia_APMT_16sectores!C26+TablaOcurrencia_APMT_16sectores!D26)</f>
        <v>191.25</v>
      </c>
      <c r="C27" s="17">
        <f>0.5*(TablaOcurrencia_APMT_16sectores!E26+TablaOcurrencia_APMT_16sectores!F26)</f>
        <v>2.25</v>
      </c>
      <c r="D27" s="17">
        <f>0.5*(TablaOcurrencia_APMT_16sectores!G26+TablaOcurrencia_APMT_16sectores!H26)</f>
        <v>11</v>
      </c>
      <c r="E27" s="17">
        <f>TablaOcurrencia_APMT_16sectores!K26</f>
        <v>192.22064056939499</v>
      </c>
      <c r="F27" s="17">
        <f>TablaOcurrencia_APMT_16sectores!I26</f>
        <v>2.2072249220640501</v>
      </c>
      <c r="G27" s="17">
        <f>TablaOcurrencia_APMT_16sectores!J26</f>
        <v>11.208240600500501</v>
      </c>
      <c r="H27" s="18">
        <f>TablaOcurrencia_APMT_16sectores!M26</f>
        <v>7.7231171310281413E-3</v>
      </c>
      <c r="I27" s="19">
        <f>TablaOcurrencia_APMT_16sectores!N26</f>
        <v>2.8189377528252715</v>
      </c>
    </row>
    <row r="28" spans="1:9" ht="15.6" x14ac:dyDescent="0.3">
      <c r="A28" s="16" t="str">
        <f>TablaOcurrencia_APMT_16sectores!B27</f>
        <v>WSW</v>
      </c>
      <c r="B28" s="17">
        <f>0.5*(TablaOcurrencia_APMT_16sectores!C27+TablaOcurrencia_APMT_16sectores!D27)</f>
        <v>258.75</v>
      </c>
      <c r="C28" s="17">
        <f>0.5*(TablaOcurrencia_APMT_16sectores!E27+TablaOcurrencia_APMT_16sectores!F27)</f>
        <v>1.75</v>
      </c>
      <c r="D28" s="17">
        <f>0.5*(TablaOcurrencia_APMT_16sectores!G27+TablaOcurrencia_APMT_16sectores!H27)</f>
        <v>15</v>
      </c>
      <c r="E28" s="17">
        <f>TablaOcurrencia_APMT_16sectores!K27</f>
        <v>257.89288361749402</v>
      </c>
      <c r="F28" s="17">
        <f>TablaOcurrencia_APMT_16sectores!I27</f>
        <v>1.7397087425500299</v>
      </c>
      <c r="G28" s="17">
        <f>TablaOcurrencia_APMT_16sectores!J27</f>
        <v>14.938753745474701</v>
      </c>
      <c r="H28" s="18">
        <f>TablaOcurrencia_APMT_16sectores!M27</f>
        <v>6.7411743835373425E-3</v>
      </c>
      <c r="I28" s="19">
        <f>TablaOcurrencia_APMT_16sectores!N27</f>
        <v>2.4605286499911299</v>
      </c>
    </row>
    <row r="29" spans="1:9" ht="15.6" x14ac:dyDescent="0.3">
      <c r="A29" s="16" t="str">
        <f>TablaOcurrencia_APMT_16sectores!B28</f>
        <v>S</v>
      </c>
      <c r="B29" s="17">
        <f>0.5*(TablaOcurrencia_APMT_16sectores!C28+TablaOcurrencia_APMT_16sectores!D28)</f>
        <v>191.25</v>
      </c>
      <c r="C29" s="17">
        <f>0.5*(TablaOcurrencia_APMT_16sectores!E28+TablaOcurrencia_APMT_16sectores!F28)</f>
        <v>1.75</v>
      </c>
      <c r="D29" s="17">
        <f>0.5*(TablaOcurrencia_APMT_16sectores!G28+TablaOcurrencia_APMT_16sectores!H28)</f>
        <v>15</v>
      </c>
      <c r="E29" s="17">
        <f>TablaOcurrencia_APMT_16sectores!K28</f>
        <v>198.1604743083</v>
      </c>
      <c r="F29" s="17">
        <f>TablaOcurrencia_APMT_16sectores!I28</f>
        <v>1.8164996760869501</v>
      </c>
      <c r="G29" s="17">
        <f>TablaOcurrencia_APMT_16sectores!J28</f>
        <v>14.8015736459837</v>
      </c>
      <c r="H29" s="18">
        <f>TablaOcurrencia_APMT_16sectores!M28</f>
        <v>6.3214125983504363E-3</v>
      </c>
      <c r="I29" s="19">
        <f>TablaOcurrencia_APMT_16sectores!N28</f>
        <v>2.307315598397909</v>
      </c>
    </row>
    <row r="30" spans="1:9" ht="15.6" x14ac:dyDescent="0.3">
      <c r="A30" s="16" t="str">
        <f>TablaOcurrencia_APMT_16sectores!B29</f>
        <v>SW</v>
      </c>
      <c r="B30" s="17">
        <f>0.5*(TablaOcurrencia_APMT_16sectores!C29+TablaOcurrencia_APMT_16sectores!D29)</f>
        <v>236.25</v>
      </c>
      <c r="C30" s="17">
        <f>0.5*(TablaOcurrencia_APMT_16sectores!E29+TablaOcurrencia_APMT_16sectores!F29)</f>
        <v>2.25</v>
      </c>
      <c r="D30" s="17">
        <f>0.5*(TablaOcurrencia_APMT_16sectores!G29+TablaOcurrencia_APMT_16sectores!H29)</f>
        <v>17</v>
      </c>
      <c r="E30" s="17">
        <f>TablaOcurrencia_APMT_16sectores!K29</f>
        <v>231.22663358147199</v>
      </c>
      <c r="F30" s="17">
        <f>TablaOcurrencia_APMT_16sectores!I29</f>
        <v>2.2180604548800602</v>
      </c>
      <c r="G30" s="17">
        <f>TablaOcurrencia_APMT_16sectores!J29</f>
        <v>16.8362623516973</v>
      </c>
      <c r="H30" s="18">
        <f>TablaOcurrencia_APMT_16sectores!M29</f>
        <v>6.0415714082258315E-3</v>
      </c>
      <c r="I30" s="19">
        <f>TablaOcurrencia_APMT_16sectores!N29</f>
        <v>2.2051735640024286</v>
      </c>
    </row>
    <row r="31" spans="1:9" ht="15.6" x14ac:dyDescent="0.3">
      <c r="A31" s="16" t="str">
        <f>TablaOcurrencia_APMT_16sectores!B30</f>
        <v>SW</v>
      </c>
      <c r="B31" s="17">
        <f>0.5*(TablaOcurrencia_APMT_16sectores!C30+TablaOcurrencia_APMT_16sectores!D30)</f>
        <v>236.25</v>
      </c>
      <c r="C31" s="17">
        <f>0.5*(TablaOcurrencia_APMT_16sectores!E30+TablaOcurrencia_APMT_16sectores!F30)</f>
        <v>1.75</v>
      </c>
      <c r="D31" s="17">
        <f>0.5*(TablaOcurrencia_APMT_16sectores!G30+TablaOcurrencia_APMT_16sectores!H30)</f>
        <v>17</v>
      </c>
      <c r="E31" s="17">
        <f>TablaOcurrencia_APMT_16sectores!K30</f>
        <v>233.003487358326</v>
      </c>
      <c r="F31" s="17">
        <f>TablaOcurrencia_APMT_16sectores!I30</f>
        <v>1.8158230893635501</v>
      </c>
      <c r="G31" s="17">
        <f>TablaOcurrencia_APMT_16sectores!J30</f>
        <v>16.793495246200401</v>
      </c>
      <c r="H31" s="18">
        <f>TablaOcurrencia_APMT_16sectores!M30</f>
        <v>5.73174723344502E-3</v>
      </c>
      <c r="I31" s="19">
        <f>TablaOcurrencia_APMT_16sectores!N30</f>
        <v>2.0920877402074325</v>
      </c>
    </row>
    <row r="32" spans="1:9" ht="15.6" x14ac:dyDescent="0.3">
      <c r="A32" s="16" t="str">
        <f>TablaOcurrencia_APMT_16sectores!B31</f>
        <v>S</v>
      </c>
      <c r="B32" s="17">
        <f>0.5*(TablaOcurrencia_APMT_16sectores!C31+TablaOcurrencia_APMT_16sectores!D31)</f>
        <v>191.25</v>
      </c>
      <c r="C32" s="17">
        <f>0.5*(TablaOcurrencia_APMT_16sectores!E31+TablaOcurrencia_APMT_16sectores!F31)</f>
        <v>2.75</v>
      </c>
      <c r="D32" s="17">
        <f>0.5*(TablaOcurrencia_APMT_16sectores!G31+TablaOcurrencia_APMT_16sectores!H31)</f>
        <v>13</v>
      </c>
      <c r="E32" s="17">
        <f>TablaOcurrencia_APMT_16sectores!K31</f>
        <v>197.550874047512</v>
      </c>
      <c r="F32" s="17">
        <f>TablaOcurrencia_APMT_16sectores!I31</f>
        <v>2.7039579630658799</v>
      </c>
      <c r="G32" s="17">
        <f>TablaOcurrencia_APMT_16sectores!J31</f>
        <v>13.1034903536186</v>
      </c>
      <c r="H32" s="18">
        <f>TablaOcurrencia_APMT_16sectores!M31</f>
        <v>5.5743365639999301E-3</v>
      </c>
      <c r="I32" s="19">
        <f>TablaOcurrencia_APMT_16sectores!N31</f>
        <v>2.0346328458599743</v>
      </c>
    </row>
    <row r="33" spans="1:9" ht="15.6" x14ac:dyDescent="0.3">
      <c r="A33" s="16" t="str">
        <f>TablaOcurrencia_APMT_16sectores!B32</f>
        <v>S</v>
      </c>
      <c r="B33" s="17">
        <f>0.5*(TablaOcurrencia_APMT_16sectores!C32+TablaOcurrencia_APMT_16sectores!D32)</f>
        <v>191.25</v>
      </c>
      <c r="C33" s="17">
        <f>0.5*(TablaOcurrencia_APMT_16sectores!E32+TablaOcurrencia_APMT_16sectores!F32)</f>
        <v>2.25</v>
      </c>
      <c r="D33" s="17">
        <f>0.5*(TablaOcurrencia_APMT_16sectores!G32+TablaOcurrencia_APMT_16sectores!H32)</f>
        <v>9</v>
      </c>
      <c r="E33" s="17">
        <f>TablaOcurrencia_APMT_16sectores!K32</f>
        <v>184.888539325842</v>
      </c>
      <c r="F33" s="17">
        <f>TablaOcurrencia_APMT_16sectores!I32</f>
        <v>2.25925760804494</v>
      </c>
      <c r="G33" s="17">
        <f>TablaOcurrencia_APMT_16sectores!J32</f>
        <v>8.9488741960706193</v>
      </c>
      <c r="H33" s="18">
        <f>TablaOcurrencia_APMT_16sectores!M32</f>
        <v>5.5593450716718259E-3</v>
      </c>
      <c r="I33" s="19">
        <f>TablaOcurrencia_APMT_16sectores!N32</f>
        <v>2.0291609511602164</v>
      </c>
    </row>
    <row r="34" spans="1:9" ht="15.6" x14ac:dyDescent="0.3">
      <c r="A34" s="16" t="str">
        <f>TablaOcurrencia_APMT_16sectores!B33</f>
        <v>SSW</v>
      </c>
      <c r="B34" s="17">
        <f>0.5*(TablaOcurrencia_APMT_16sectores!C33+TablaOcurrencia_APMT_16sectores!D33)</f>
        <v>213.75</v>
      </c>
      <c r="C34" s="17">
        <f>0.5*(TablaOcurrencia_APMT_16sectores!E33+TablaOcurrencia_APMT_16sectores!F33)</f>
        <v>2.75</v>
      </c>
      <c r="D34" s="17">
        <f>0.5*(TablaOcurrencia_APMT_16sectores!G33+TablaOcurrencia_APMT_16sectores!H33)</f>
        <v>19</v>
      </c>
      <c r="E34" s="17">
        <f>TablaOcurrencia_APMT_16sectores!K33</f>
        <v>215.022211938917</v>
      </c>
      <c r="F34" s="17">
        <f>TablaOcurrencia_APMT_16sectores!I33</f>
        <v>2.7097881533086499</v>
      </c>
      <c r="G34" s="17">
        <f>TablaOcurrencia_APMT_16sectores!J33</f>
        <v>19.066856215703201</v>
      </c>
      <c r="H34" s="18">
        <f>TablaOcurrencia_APMT_16sectores!M33</f>
        <v>5.399435820172052E-3</v>
      </c>
      <c r="I34" s="19">
        <f>TablaOcurrencia_APMT_16sectores!N33</f>
        <v>1.9707940743627992</v>
      </c>
    </row>
    <row r="35" spans="1:9" ht="15.6" x14ac:dyDescent="0.3">
      <c r="A35" s="16" t="str">
        <f>TablaOcurrencia_APMT_16sectores!B34</f>
        <v>W</v>
      </c>
      <c r="B35" s="17">
        <f>0.5*(TablaOcurrencia_APMT_16sectores!C34+TablaOcurrencia_APMT_16sectores!D34)</f>
        <v>281.25</v>
      </c>
      <c r="C35" s="17">
        <f>0.5*(TablaOcurrencia_APMT_16sectores!E34+TablaOcurrencia_APMT_16sectores!F34)</f>
        <v>1.75</v>
      </c>
      <c r="D35" s="17">
        <f>0.5*(TablaOcurrencia_APMT_16sectores!G34+TablaOcurrencia_APMT_16sectores!H34)</f>
        <v>15</v>
      </c>
      <c r="E35" s="17">
        <f>TablaOcurrencia_APMT_16sectores!K34</f>
        <v>281.36495257114302</v>
      </c>
      <c r="F35" s="17">
        <f>TablaOcurrencia_APMT_16sectores!I34</f>
        <v>1.7209166937593601</v>
      </c>
      <c r="G35" s="17">
        <f>TablaOcurrencia_APMT_16sectores!J34</f>
        <v>15.1839703440313</v>
      </c>
      <c r="H35" s="18">
        <f>TablaOcurrencia_APMT_16sectores!M34</f>
        <v>5.0046598555319854E-3</v>
      </c>
      <c r="I35" s="19">
        <f>TablaOcurrencia_APMT_16sectores!N34</f>
        <v>1.8267008472691748</v>
      </c>
    </row>
    <row r="36" spans="1:9" ht="15.6" x14ac:dyDescent="0.3">
      <c r="A36" s="16" t="str">
        <f>TablaOcurrencia_APMT_16sectores!B35</f>
        <v>WNW</v>
      </c>
      <c r="B36" s="17">
        <f>0.5*(TablaOcurrencia_APMT_16sectores!C35+TablaOcurrencia_APMT_16sectores!D35)</f>
        <v>303.75</v>
      </c>
      <c r="C36" s="17">
        <f>0.5*(TablaOcurrencia_APMT_16sectores!E35+TablaOcurrencia_APMT_16sectores!F35)</f>
        <v>1.75</v>
      </c>
      <c r="D36" s="17">
        <f>0.5*(TablaOcurrencia_APMT_16sectores!G35+TablaOcurrencia_APMT_16sectores!H35)</f>
        <v>15</v>
      </c>
      <c r="E36" s="17">
        <f>TablaOcurrencia_APMT_16sectores!K35</f>
        <v>299.37094358462298</v>
      </c>
      <c r="F36" s="17">
        <f>TablaOcurrencia_APMT_16sectores!I35</f>
        <v>1.69005398652021</v>
      </c>
      <c r="G36" s="17">
        <f>TablaOcurrencia_APMT_16sectores!J35</f>
        <v>15.5235742142172</v>
      </c>
      <c r="H36" s="18">
        <f>TablaOcurrencia_APMT_16sectores!M35</f>
        <v>5.0046598555319854E-3</v>
      </c>
      <c r="I36" s="19">
        <f>TablaOcurrencia_APMT_16sectores!N35</f>
        <v>1.8267008472691748</v>
      </c>
    </row>
    <row r="37" spans="1:9" ht="15.6" x14ac:dyDescent="0.3">
      <c r="A37" s="16" t="str">
        <f>TablaOcurrencia_APMT_16sectores!B36</f>
        <v>SSW</v>
      </c>
      <c r="B37" s="17">
        <f>0.5*(TablaOcurrencia_APMT_16sectores!C36+TablaOcurrencia_APMT_16sectores!D36)</f>
        <v>213.75</v>
      </c>
      <c r="C37" s="17">
        <f>0.5*(TablaOcurrencia_APMT_16sectores!E36+TablaOcurrencia_APMT_16sectores!F36)</f>
        <v>1.75</v>
      </c>
      <c r="D37" s="17">
        <f>0.5*(TablaOcurrencia_APMT_16sectores!G36+TablaOcurrencia_APMT_16sectores!H36)</f>
        <v>19</v>
      </c>
      <c r="E37" s="17">
        <f>TablaOcurrencia_APMT_16sectores!K36</f>
        <v>217.18402061855599</v>
      </c>
      <c r="F37" s="17">
        <f>TablaOcurrencia_APMT_16sectores!I36</f>
        <v>1.8231691444329801</v>
      </c>
      <c r="G37" s="17">
        <f>TablaOcurrencia_APMT_16sectores!J36</f>
        <v>19.231131852819502</v>
      </c>
      <c r="H37" s="18">
        <f>TablaOcurrencia_APMT_16sectores!M36</f>
        <v>4.8472491860868955E-3</v>
      </c>
      <c r="I37" s="19">
        <f>TablaOcurrencia_APMT_16sectores!N36</f>
        <v>1.7692459529217168</v>
      </c>
    </row>
    <row r="38" spans="1:9" ht="15.6" x14ac:dyDescent="0.3">
      <c r="A38" s="16" t="str">
        <f>TablaOcurrencia_APMT_16sectores!B37</f>
        <v>S</v>
      </c>
      <c r="B38" s="17">
        <f>0.5*(TablaOcurrencia_APMT_16sectores!C37+TablaOcurrencia_APMT_16sectores!D37)</f>
        <v>191.25</v>
      </c>
      <c r="C38" s="17">
        <f>0.5*(TablaOcurrencia_APMT_16sectores!E37+TablaOcurrencia_APMT_16sectores!F37)</f>
        <v>2.75</v>
      </c>
      <c r="D38" s="17">
        <f>0.5*(TablaOcurrencia_APMT_16sectores!G37+TablaOcurrencia_APMT_16sectores!H37)</f>
        <v>9</v>
      </c>
      <c r="E38" s="17">
        <f>TablaOcurrencia_APMT_16sectores!K37</f>
        <v>184.706289978678</v>
      </c>
      <c r="F38" s="17">
        <f>TablaOcurrencia_APMT_16sectores!I37</f>
        <v>2.7173497753198199</v>
      </c>
      <c r="G38" s="17">
        <f>TablaOcurrencia_APMT_16sectores!J37</f>
        <v>9.0977982225533403</v>
      </c>
      <c r="H38" s="18">
        <f>TablaOcurrencia_APMT_16sectores!M37</f>
        <v>4.6873399345871217E-3</v>
      </c>
      <c r="I38" s="19">
        <f>TablaOcurrencia_APMT_16sectores!N37</f>
        <v>1.7108790761242996</v>
      </c>
    </row>
    <row r="39" spans="1:9" ht="15.6" x14ac:dyDescent="0.3">
      <c r="A39" s="16" t="str">
        <f>TablaOcurrencia_APMT_16sectores!B38</f>
        <v>S</v>
      </c>
      <c r="B39" s="17">
        <f>0.5*(TablaOcurrencia_APMT_16sectores!C38+TablaOcurrencia_APMT_16sectores!D38)</f>
        <v>191.25</v>
      </c>
      <c r="C39" s="17">
        <f>0.5*(TablaOcurrencia_APMT_16sectores!E38+TablaOcurrencia_APMT_16sectores!F38)</f>
        <v>2.75</v>
      </c>
      <c r="D39" s="17">
        <f>0.5*(TablaOcurrencia_APMT_16sectores!G38+TablaOcurrencia_APMT_16sectores!H38)</f>
        <v>17</v>
      </c>
      <c r="E39" s="17">
        <f>TablaOcurrencia_APMT_16sectores!K38</f>
        <v>197.92604501607701</v>
      </c>
      <c r="F39" s="17">
        <f>TablaOcurrencia_APMT_16sectores!I38</f>
        <v>2.7503805933011698</v>
      </c>
      <c r="G39" s="17">
        <f>TablaOcurrencia_APMT_16sectores!J38</f>
        <v>16.902466610861101</v>
      </c>
      <c r="H39" s="18">
        <f>TablaOcurrencia_APMT_16sectores!M38</f>
        <v>4.6623541140402821E-3</v>
      </c>
      <c r="I39" s="19">
        <f>TablaOcurrencia_APMT_16sectores!N38</f>
        <v>1.7017592516247029</v>
      </c>
    </row>
    <row r="40" spans="1:9" ht="15.6" x14ac:dyDescent="0.3">
      <c r="A40" s="16" t="str">
        <f>TablaOcurrencia_APMT_16sectores!B39</f>
        <v>SSW</v>
      </c>
      <c r="B40" s="17">
        <f>0.5*(TablaOcurrencia_APMT_16sectores!C39+TablaOcurrencia_APMT_16sectores!D39)</f>
        <v>213.75</v>
      </c>
      <c r="C40" s="17">
        <f>0.5*(TablaOcurrencia_APMT_16sectores!E39+TablaOcurrencia_APMT_16sectores!F39)</f>
        <v>3.75</v>
      </c>
      <c r="D40" s="17">
        <f>0.5*(TablaOcurrencia_APMT_16sectores!G39+TablaOcurrencia_APMT_16sectores!H39)</f>
        <v>17</v>
      </c>
      <c r="E40" s="17">
        <f>TablaOcurrencia_APMT_16sectores!K39</f>
        <v>211</v>
      </c>
      <c r="F40" s="17">
        <f>TablaOcurrencia_APMT_16sectores!I39</f>
        <v>3.6865926211187201</v>
      </c>
      <c r="G40" s="17">
        <f>TablaOcurrencia_APMT_16sectores!J39</f>
        <v>16.984263246593802</v>
      </c>
      <c r="H40" s="18">
        <f>TablaOcurrencia_APMT_16sectores!M39</f>
        <v>4.3775157598063101E-3</v>
      </c>
      <c r="I40" s="19">
        <f>TablaOcurrencia_APMT_16sectores!N39</f>
        <v>1.597793252329303</v>
      </c>
    </row>
    <row r="41" spans="1:9" ht="15.6" x14ac:dyDescent="0.3">
      <c r="A41" s="16" t="str">
        <f>TablaOcurrencia_APMT_16sectores!B40</f>
        <v>SW</v>
      </c>
      <c r="B41" s="17">
        <f>0.5*(TablaOcurrencia_APMT_16sectores!C40+TablaOcurrencia_APMT_16sectores!D40)</f>
        <v>236.25</v>
      </c>
      <c r="C41" s="17">
        <f>0.5*(TablaOcurrencia_APMT_16sectores!E40+TablaOcurrencia_APMT_16sectores!F40)</f>
        <v>1.25</v>
      </c>
      <c r="D41" s="17">
        <f>0.5*(TablaOcurrencia_APMT_16sectores!G40+TablaOcurrencia_APMT_16sectores!H40)</f>
        <v>13</v>
      </c>
      <c r="E41" s="17">
        <f>TablaOcurrencia_APMT_16sectores!K40</f>
        <v>232.533807829181</v>
      </c>
      <c r="F41" s="17">
        <f>TablaOcurrencia_APMT_16sectores!I40</f>
        <v>1.38826221376037</v>
      </c>
      <c r="G41" s="17">
        <f>TablaOcurrencia_APMT_16sectores!J40</f>
        <v>12.9404445226762</v>
      </c>
      <c r="H41" s="18">
        <f>TablaOcurrencia_APMT_16sectores!M40</f>
        <v>4.2126093441971681E-3</v>
      </c>
      <c r="I41" s="19">
        <f>TablaOcurrencia_APMT_16sectores!N40</f>
        <v>1.5376024106319663</v>
      </c>
    </row>
    <row r="42" spans="1:9" ht="15.6" x14ac:dyDescent="0.3">
      <c r="A42" s="16" t="str">
        <f>TablaOcurrencia_APMT_16sectores!B41</f>
        <v>SW</v>
      </c>
      <c r="B42" s="17">
        <f>0.5*(TablaOcurrencia_APMT_16sectores!C41+TablaOcurrencia_APMT_16sectores!D41)</f>
        <v>236.25</v>
      </c>
      <c r="C42" s="17">
        <f>0.5*(TablaOcurrencia_APMT_16sectores!E41+TablaOcurrencia_APMT_16sectores!F41)</f>
        <v>2.25</v>
      </c>
      <c r="D42" s="17">
        <f>0.5*(TablaOcurrencia_APMT_16sectores!G41+TablaOcurrencia_APMT_16sectores!H41)</f>
        <v>13</v>
      </c>
      <c r="E42" s="17">
        <f>TablaOcurrencia_APMT_16sectores!K41</f>
        <v>229.30545454545401</v>
      </c>
      <c r="F42" s="17">
        <f>TablaOcurrencia_APMT_16sectores!I41</f>
        <v>2.1689976474545398</v>
      </c>
      <c r="G42" s="17">
        <f>TablaOcurrencia_APMT_16sectores!J41</f>
        <v>13.254347920707801</v>
      </c>
      <c r="H42" s="18">
        <f>TablaOcurrencia_APMT_16sectores!M41</f>
        <v>4.122660390228545E-3</v>
      </c>
      <c r="I42" s="19">
        <f>TablaOcurrencia_APMT_16sectores!N41</f>
        <v>1.5047710424334191</v>
      </c>
    </row>
    <row r="43" spans="1:9" ht="15.6" x14ac:dyDescent="0.3">
      <c r="A43" s="16" t="str">
        <f>TablaOcurrencia_APMT_16sectores!B42</f>
        <v>S</v>
      </c>
      <c r="B43" s="17">
        <f>0.5*(TablaOcurrencia_APMT_16sectores!C42+TablaOcurrencia_APMT_16sectores!D42)</f>
        <v>191.25</v>
      </c>
      <c r="C43" s="17">
        <f>0.5*(TablaOcurrencia_APMT_16sectores!E42+TablaOcurrencia_APMT_16sectores!F42)</f>
        <v>2.25</v>
      </c>
      <c r="D43" s="17">
        <f>0.5*(TablaOcurrencia_APMT_16sectores!G42+TablaOcurrencia_APMT_16sectores!H42)</f>
        <v>17</v>
      </c>
      <c r="E43" s="17">
        <f>TablaOcurrencia_APMT_16sectores!K42</f>
        <v>197.55069823922199</v>
      </c>
      <c r="F43" s="17">
        <f>TablaOcurrencia_APMT_16sectores!I42</f>
        <v>2.27566128032786</v>
      </c>
      <c r="G43" s="17">
        <f>TablaOcurrencia_APMT_16sectores!J42</f>
        <v>16.902002347687102</v>
      </c>
      <c r="H43" s="18">
        <f>TablaOcurrencia_APMT_16sectores!M42</f>
        <v>4.1151646440644937E-3</v>
      </c>
      <c r="I43" s="19">
        <f>TablaOcurrencia_APMT_16sectores!N42</f>
        <v>1.5020350950835402</v>
      </c>
    </row>
    <row r="44" spans="1:9" ht="15.6" x14ac:dyDescent="0.3">
      <c r="A44" s="16" t="str">
        <f>TablaOcurrencia_APMT_16sectores!B43</f>
        <v>WNW</v>
      </c>
      <c r="B44" s="17">
        <f>0.5*(TablaOcurrencia_APMT_16sectores!C43+TablaOcurrencia_APMT_16sectores!D43)</f>
        <v>303.75</v>
      </c>
      <c r="C44" s="17">
        <f>0.5*(TablaOcurrencia_APMT_16sectores!E43+TablaOcurrencia_APMT_16sectores!F43)</f>
        <v>1.75</v>
      </c>
      <c r="D44" s="17">
        <f>0.5*(TablaOcurrencia_APMT_16sectores!G43+TablaOcurrencia_APMT_16sectores!H43)</f>
        <v>19</v>
      </c>
      <c r="E44" s="17">
        <f>TablaOcurrencia_APMT_16sectores!K43</f>
        <v>302.363468634686</v>
      </c>
      <c r="F44" s="17">
        <f>TablaOcurrencia_APMT_16sectores!I43</f>
        <v>1.7730099102706001</v>
      </c>
      <c r="G44" s="17">
        <f>TablaOcurrencia_APMT_16sectores!J43</f>
        <v>19.291285987526798</v>
      </c>
      <c r="H44" s="18">
        <f>TablaOcurrencia_APMT_16sectores!M43</f>
        <v>4.0626944209161304E-3</v>
      </c>
      <c r="I44" s="19">
        <f>TablaOcurrencia_APMT_16sectores!N43</f>
        <v>1.4828834636343875</v>
      </c>
    </row>
    <row r="45" spans="1:9" ht="15.6" x14ac:dyDescent="0.3">
      <c r="A45" s="16" t="str">
        <f>TablaOcurrencia_APMT_16sectores!B44</f>
        <v>S</v>
      </c>
      <c r="B45" s="17">
        <f>0.5*(TablaOcurrencia_APMT_16sectores!C44+TablaOcurrencia_APMT_16sectores!D44)</f>
        <v>191.25</v>
      </c>
      <c r="C45" s="17">
        <f>0.5*(TablaOcurrencia_APMT_16sectores!E44+TablaOcurrencia_APMT_16sectores!F44)</f>
        <v>1.75</v>
      </c>
      <c r="D45" s="17">
        <f>0.5*(TablaOcurrencia_APMT_16sectores!G44+TablaOcurrencia_APMT_16sectores!H44)</f>
        <v>9</v>
      </c>
      <c r="E45" s="17">
        <f>TablaOcurrencia_APMT_16sectores!K44</f>
        <v>186.41351010100999</v>
      </c>
      <c r="F45" s="17">
        <f>TablaOcurrencia_APMT_16sectores!I44</f>
        <v>1.78101522468434</v>
      </c>
      <c r="G45" s="17">
        <f>TablaOcurrencia_APMT_16sectores!J44</f>
        <v>9.2802151682450607</v>
      </c>
      <c r="H45" s="18">
        <f>TablaOcurrencia_APMT_16sectores!M44</f>
        <v>3.9577539746194039E-3</v>
      </c>
      <c r="I45" s="19">
        <f>TablaOcurrencia_APMT_16sectores!N44</f>
        <v>1.4445802007360822</v>
      </c>
    </row>
    <row r="46" spans="1:9" ht="15.6" x14ac:dyDescent="0.3">
      <c r="A46" s="16" t="str">
        <f>TablaOcurrencia_APMT_16sectores!B45</f>
        <v>SSW</v>
      </c>
      <c r="B46" s="17">
        <f>0.5*(TablaOcurrencia_APMT_16sectores!C45+TablaOcurrencia_APMT_16sectores!D45)</f>
        <v>213.75</v>
      </c>
      <c r="C46" s="17">
        <f>0.5*(TablaOcurrencia_APMT_16sectores!E45+TablaOcurrencia_APMT_16sectores!F45)</f>
        <v>1.25</v>
      </c>
      <c r="D46" s="17">
        <f>0.5*(TablaOcurrencia_APMT_16sectores!G45+TablaOcurrencia_APMT_16sectores!H45)</f>
        <v>15</v>
      </c>
      <c r="E46" s="17">
        <f>TablaOcurrencia_APMT_16sectores!K45</f>
        <v>216.55389610389599</v>
      </c>
      <c r="F46" s="17">
        <f>TablaOcurrencia_APMT_16sectores!I45</f>
        <v>1.40918187370129</v>
      </c>
      <c r="G46" s="17">
        <f>TablaOcurrencia_APMT_16sectores!J45</f>
        <v>14.832291866226401</v>
      </c>
      <c r="H46" s="18">
        <f>TablaOcurrencia_APMT_16sectores!M45</f>
        <v>3.8478163642133088E-3</v>
      </c>
      <c r="I46" s="19">
        <f>TablaOcurrencia_APMT_16sectores!N45</f>
        <v>1.4044529729378579</v>
      </c>
    </row>
    <row r="47" spans="1:9" ht="15.6" x14ac:dyDescent="0.3">
      <c r="A47" s="16" t="str">
        <f>TablaOcurrencia_APMT_16sectores!B46</f>
        <v>S</v>
      </c>
      <c r="B47" s="17">
        <f>0.5*(TablaOcurrencia_APMT_16sectores!C46+TablaOcurrencia_APMT_16sectores!D46)</f>
        <v>191.25</v>
      </c>
      <c r="C47" s="17">
        <f>0.5*(TablaOcurrencia_APMT_16sectores!E46+TablaOcurrencia_APMT_16sectores!F46)</f>
        <v>3.25</v>
      </c>
      <c r="D47" s="17">
        <f>0.5*(TablaOcurrencia_APMT_16sectores!G46+TablaOcurrencia_APMT_16sectores!H46)</f>
        <v>15</v>
      </c>
      <c r="E47" s="17">
        <f>TablaOcurrencia_APMT_16sectores!K46</f>
        <v>198.71382007822601</v>
      </c>
      <c r="F47" s="17">
        <f>TablaOcurrencia_APMT_16sectores!I46</f>
        <v>3.17425566095176</v>
      </c>
      <c r="G47" s="17">
        <f>TablaOcurrencia_APMT_16sectores!J46</f>
        <v>15.100530037665299</v>
      </c>
      <c r="H47" s="18">
        <f>TablaOcurrencia_APMT_16sectores!M46</f>
        <v>3.832824871885205E-3</v>
      </c>
      <c r="I47" s="19">
        <f>TablaOcurrencia_APMT_16sectores!N46</f>
        <v>1.3989810782380998</v>
      </c>
    </row>
    <row r="48" spans="1:9" ht="15.6" x14ac:dyDescent="0.3">
      <c r="A48" s="16" t="str">
        <f>TablaOcurrencia_APMT_16sectores!B47</f>
        <v>SSW</v>
      </c>
      <c r="B48" s="17">
        <f>0.5*(TablaOcurrencia_APMT_16sectores!C47+TablaOcurrencia_APMT_16sectores!D47)</f>
        <v>213.75</v>
      </c>
      <c r="C48" s="17">
        <f>0.5*(TablaOcurrencia_APMT_16sectores!E47+TablaOcurrencia_APMT_16sectores!F47)</f>
        <v>2.25</v>
      </c>
      <c r="D48" s="17">
        <f>0.5*(TablaOcurrencia_APMT_16sectores!G47+TablaOcurrencia_APMT_16sectores!H47)</f>
        <v>11</v>
      </c>
      <c r="E48" s="17">
        <f>TablaOcurrencia_APMT_16sectores!K47</f>
        <v>209.58907185628701</v>
      </c>
      <c r="F48" s="17">
        <f>TablaOcurrencia_APMT_16sectores!I47</f>
        <v>2.1687126468562798</v>
      </c>
      <c r="G48" s="17">
        <f>TablaOcurrencia_APMT_16sectores!J47</f>
        <v>11.609045856544499</v>
      </c>
      <c r="H48" s="18">
        <f>TablaOcurrencia_APMT_16sectores!M47</f>
        <v>3.3381056250577799E-3</v>
      </c>
      <c r="I48" s="19">
        <f>TablaOcurrencia_APMT_16sectores!N47</f>
        <v>1.2184085531460895</v>
      </c>
    </row>
    <row r="49" spans="1:9" ht="15.6" x14ac:dyDescent="0.3">
      <c r="A49" s="16" t="str">
        <f>TablaOcurrencia_APMT_16sectores!B48</f>
        <v>SSE</v>
      </c>
      <c r="B49" s="17">
        <f>0.5*(TablaOcurrencia_APMT_16sectores!C48+TablaOcurrencia_APMT_16sectores!D48)</f>
        <v>168.75</v>
      </c>
      <c r="C49" s="17">
        <f>0.5*(TablaOcurrencia_APMT_16sectores!E48+TablaOcurrencia_APMT_16sectores!F48)</f>
        <v>2.75</v>
      </c>
      <c r="D49" s="17">
        <f>0.5*(TablaOcurrencia_APMT_16sectores!G48+TablaOcurrencia_APMT_16sectores!H48)</f>
        <v>9</v>
      </c>
      <c r="E49" s="17">
        <f>TablaOcurrencia_APMT_16sectores!K48</f>
        <v>177.26489533011201</v>
      </c>
      <c r="F49" s="17">
        <f>TablaOcurrencia_APMT_16sectores!I48</f>
        <v>2.7285186174718099</v>
      </c>
      <c r="G49" s="17">
        <f>TablaOcurrencia_APMT_16sectores!J48</f>
        <v>8.7185899345004607</v>
      </c>
      <c r="H49" s="18">
        <f>TablaOcurrencia_APMT_16sectores!M48</f>
        <v>3.1032389119174868E-3</v>
      </c>
      <c r="I49" s="19">
        <f>TablaOcurrencia_APMT_16sectores!N48</f>
        <v>1.1326822028498826</v>
      </c>
    </row>
    <row r="50" spans="1:9" ht="15.6" x14ac:dyDescent="0.3">
      <c r="A50" s="16" t="str">
        <f>TablaOcurrencia_APMT_16sectores!B49</f>
        <v>W</v>
      </c>
      <c r="B50" s="17">
        <f>0.5*(TablaOcurrencia_APMT_16sectores!C49+TablaOcurrencia_APMT_16sectores!D49)</f>
        <v>281.25</v>
      </c>
      <c r="C50" s="17">
        <f>0.5*(TablaOcurrencia_APMT_16sectores!E49+TablaOcurrencia_APMT_16sectores!F49)</f>
        <v>1.75</v>
      </c>
      <c r="D50" s="17">
        <f>0.5*(TablaOcurrencia_APMT_16sectores!G49+TablaOcurrencia_APMT_16sectores!H49)</f>
        <v>17</v>
      </c>
      <c r="E50" s="17">
        <f>TablaOcurrencia_APMT_16sectores!K49</f>
        <v>283.52014010507799</v>
      </c>
      <c r="F50" s="17">
        <f>TablaOcurrencia_APMT_16sectores!I49</f>
        <v>1.7656743274956199</v>
      </c>
      <c r="G50" s="17">
        <f>TablaOcurrencia_APMT_16sectores!J49</f>
        <v>16.990395594014601</v>
      </c>
      <c r="H50" s="18">
        <f>TablaOcurrencia_APMT_16sectores!M49</f>
        <v>2.8533807064490902E-3</v>
      </c>
      <c r="I50" s="19">
        <f>TablaOcurrencia_APMT_16sectores!N49</f>
        <v>1.0414839578539179</v>
      </c>
    </row>
    <row r="51" spans="1:9" ht="15.6" x14ac:dyDescent="0.3">
      <c r="A51" s="16" t="str">
        <f>TablaOcurrencia_APMT_16sectores!B50</f>
        <v>S</v>
      </c>
      <c r="B51" s="17">
        <f>0.5*(TablaOcurrencia_APMT_16sectores!C50+TablaOcurrencia_APMT_16sectores!D50)</f>
        <v>191.25</v>
      </c>
      <c r="C51" s="17">
        <f>0.5*(TablaOcurrencia_APMT_16sectores!E50+TablaOcurrencia_APMT_16sectores!F50)</f>
        <v>2.75</v>
      </c>
      <c r="D51" s="17">
        <f>0.5*(TablaOcurrencia_APMT_16sectores!G50+TablaOcurrencia_APMT_16sectores!H50)</f>
        <v>11</v>
      </c>
      <c r="E51" s="17">
        <f>TablaOcurrencia_APMT_16sectores!K50</f>
        <v>189.363148479427</v>
      </c>
      <c r="F51" s="17">
        <f>TablaOcurrencia_APMT_16sectores!I50</f>
        <v>2.7143417787119799</v>
      </c>
      <c r="G51" s="17">
        <f>TablaOcurrencia_APMT_16sectores!J50</f>
        <v>11.0117168468425</v>
      </c>
      <c r="H51" s="18">
        <f>TablaOcurrencia_APMT_16sectores!M50</f>
        <v>2.7934147371366748E-3</v>
      </c>
      <c r="I51" s="19">
        <f>TablaOcurrencia_APMT_16sectores!N50</f>
        <v>1.0195963790548863</v>
      </c>
    </row>
    <row r="52" spans="1:9" ht="15.6" x14ac:dyDescent="0.3">
      <c r="A52" s="16" t="str">
        <f>TablaOcurrencia_APMT_16sectores!B51</f>
        <v>WNW</v>
      </c>
      <c r="B52" s="17">
        <f>0.5*(TablaOcurrencia_APMT_16sectores!C51+TablaOcurrencia_APMT_16sectores!D51)</f>
        <v>303.75</v>
      </c>
      <c r="C52" s="17">
        <f>0.5*(TablaOcurrencia_APMT_16sectores!E51+TablaOcurrencia_APMT_16sectores!F51)</f>
        <v>2.25</v>
      </c>
      <c r="D52" s="17">
        <f>0.5*(TablaOcurrencia_APMT_16sectores!G51+TablaOcurrencia_APMT_16sectores!H51)</f>
        <v>17</v>
      </c>
      <c r="E52" s="17">
        <f>TablaOcurrencia_APMT_16sectores!K51</f>
        <v>300.01535508637198</v>
      </c>
      <c r="F52" s="17">
        <f>TablaOcurrencia_APMT_16sectores!I51</f>
        <v>2.1192035291746598</v>
      </c>
      <c r="G52" s="17">
        <f>TablaOcurrencia_APMT_16sectores!J51</f>
        <v>17.35651588839</v>
      </c>
      <c r="H52" s="18">
        <f>TablaOcurrencia_APMT_16sectores!M51</f>
        <v>2.6035225009806936E-3</v>
      </c>
      <c r="I52" s="19">
        <f>TablaOcurrencia_APMT_16sectores!N51</f>
        <v>0.95028571285795316</v>
      </c>
    </row>
    <row r="53" spans="1:9" ht="15.6" x14ac:dyDescent="0.3">
      <c r="A53" s="16" t="str">
        <f>TablaOcurrencia_APMT_16sectores!B52</f>
        <v>WSW</v>
      </c>
      <c r="B53" s="17">
        <f>0.5*(TablaOcurrencia_APMT_16sectores!C52+TablaOcurrencia_APMT_16sectores!D52)</f>
        <v>258.75</v>
      </c>
      <c r="C53" s="17">
        <f>0.5*(TablaOcurrencia_APMT_16sectores!E52+TablaOcurrencia_APMT_16sectores!F52)</f>
        <v>1.75</v>
      </c>
      <c r="D53" s="17">
        <f>0.5*(TablaOcurrencia_APMT_16sectores!G52+TablaOcurrencia_APMT_16sectores!H52)</f>
        <v>17</v>
      </c>
      <c r="E53" s="17">
        <f>TablaOcurrencia_APMT_16sectores!K52</f>
        <v>258.65485829959499</v>
      </c>
      <c r="F53" s="17">
        <f>TablaOcurrencia_APMT_16sectores!I52</f>
        <v>1.7757004764169999</v>
      </c>
      <c r="G53" s="17">
        <f>TablaOcurrencia_APMT_16sectores!J52</f>
        <v>16.753144643910002</v>
      </c>
      <c r="H53" s="18">
        <f>TablaOcurrencia_APMT_16sectores!M52</f>
        <v>2.4685990700277593E-3</v>
      </c>
      <c r="I53" s="19">
        <f>TablaOcurrencia_APMT_16sectores!N52</f>
        <v>0.90103866056013215</v>
      </c>
    </row>
    <row r="54" spans="1:9" ht="15.6" x14ac:dyDescent="0.3">
      <c r="A54" s="16" t="str">
        <f>TablaOcurrencia_APMT_16sectores!B53</f>
        <v>SSW</v>
      </c>
      <c r="B54" s="17">
        <f>0.5*(TablaOcurrencia_APMT_16sectores!C53+TablaOcurrencia_APMT_16sectores!D53)</f>
        <v>213.75</v>
      </c>
      <c r="C54" s="17">
        <f>0.5*(TablaOcurrencia_APMT_16sectores!E53+TablaOcurrencia_APMT_16sectores!F53)</f>
        <v>3.25</v>
      </c>
      <c r="D54" s="17">
        <f>0.5*(TablaOcurrencia_APMT_16sectores!G53+TablaOcurrencia_APMT_16sectores!H53)</f>
        <v>19</v>
      </c>
      <c r="E54" s="17">
        <f>TablaOcurrencia_APMT_16sectores!K53</f>
        <v>212.55787278414999</v>
      </c>
      <c r="F54" s="17">
        <f>TablaOcurrencia_APMT_16sectores!I53</f>
        <v>3.2147863518248099</v>
      </c>
      <c r="G54" s="17">
        <f>TablaOcurrencia_APMT_16sectores!J53</f>
        <v>18.980052518524399</v>
      </c>
      <c r="H54" s="18">
        <f>TablaOcurrencia_APMT_16sectores!M53</f>
        <v>2.3961401904419241E-3</v>
      </c>
      <c r="I54" s="19">
        <f>TablaOcurrencia_APMT_16sectores!N53</f>
        <v>0.87459116951130234</v>
      </c>
    </row>
    <row r="55" spans="1:9" ht="15.6" x14ac:dyDescent="0.3">
      <c r="A55" s="16" t="str">
        <f>TablaOcurrencia_APMT_16sectores!B54</f>
        <v>SSE</v>
      </c>
      <c r="B55" s="17">
        <f>0.5*(TablaOcurrencia_APMT_16sectores!C54+TablaOcurrencia_APMT_16sectores!D54)</f>
        <v>168.75</v>
      </c>
      <c r="C55" s="17">
        <f>0.5*(TablaOcurrencia_APMT_16sectores!E54+TablaOcurrencia_APMT_16sectores!F54)</f>
        <v>2.25</v>
      </c>
      <c r="D55" s="17">
        <f>0.5*(TablaOcurrencia_APMT_16sectores!G54+TablaOcurrencia_APMT_16sectores!H54)</f>
        <v>9</v>
      </c>
      <c r="E55" s="17">
        <f>TablaOcurrencia_APMT_16sectores!K54</f>
        <v>178.245502645502</v>
      </c>
      <c r="F55" s="17">
        <f>TablaOcurrencia_APMT_16sectores!I54</f>
        <v>2.2803344714285698</v>
      </c>
      <c r="G55" s="17">
        <f>TablaOcurrencia_APMT_16sectores!J54</f>
        <v>8.7410674713773098</v>
      </c>
      <c r="H55" s="18">
        <f>TablaOcurrencia_APMT_16sectores!M54</f>
        <v>2.3611600416763487E-3</v>
      </c>
      <c r="I55" s="19">
        <f>TablaOcurrencia_APMT_16sectores!N54</f>
        <v>0.86182341521186723</v>
      </c>
    </row>
    <row r="56" spans="1:9" ht="15.6" x14ac:dyDescent="0.3">
      <c r="A56" s="16" t="str">
        <f>TablaOcurrencia_APMT_16sectores!B55</f>
        <v>S</v>
      </c>
      <c r="B56" s="17">
        <f>0.5*(TablaOcurrencia_APMT_16sectores!C55+TablaOcurrencia_APMT_16sectores!D55)</f>
        <v>191.25</v>
      </c>
      <c r="C56" s="17">
        <f>0.5*(TablaOcurrencia_APMT_16sectores!E55+TablaOcurrencia_APMT_16sectores!F55)</f>
        <v>3.25</v>
      </c>
      <c r="D56" s="17">
        <f>0.5*(TablaOcurrencia_APMT_16sectores!G55+TablaOcurrencia_APMT_16sectores!H55)</f>
        <v>17</v>
      </c>
      <c r="E56" s="17">
        <f>TablaOcurrencia_APMT_16sectores!K55</f>
        <v>198.98577680525099</v>
      </c>
      <c r="F56" s="17">
        <f>TablaOcurrencia_APMT_16sectores!I55</f>
        <v>3.2024749513129098</v>
      </c>
      <c r="G56" s="17">
        <f>TablaOcurrencia_APMT_16sectores!J55</f>
        <v>16.9058166588392</v>
      </c>
      <c r="H56" s="18">
        <f>TablaOcurrencia_APMT_16sectores!M55</f>
        <v>2.2837039979811458E-3</v>
      </c>
      <c r="I56" s="19">
        <f>TablaOcurrencia_APMT_16sectores!N55</f>
        <v>0.8335519592631182</v>
      </c>
    </row>
    <row r="57" spans="1:9" ht="15.6" x14ac:dyDescent="0.3">
      <c r="A57" s="16" t="str">
        <f>TablaOcurrencia_APMT_16sectores!B56</f>
        <v>SW</v>
      </c>
      <c r="B57" s="17">
        <f>0.5*(TablaOcurrencia_APMT_16sectores!C56+TablaOcurrencia_APMT_16sectores!D56)</f>
        <v>236.25</v>
      </c>
      <c r="C57" s="17">
        <f>0.5*(TablaOcurrencia_APMT_16sectores!E56+TablaOcurrencia_APMT_16sectores!F56)</f>
        <v>1.25</v>
      </c>
      <c r="D57" s="17">
        <f>0.5*(TablaOcurrencia_APMT_16sectores!G56+TablaOcurrencia_APMT_16sectores!H56)</f>
        <v>15</v>
      </c>
      <c r="E57" s="17">
        <f>TablaOcurrencia_APMT_16sectores!K56</f>
        <v>234.56325632563201</v>
      </c>
      <c r="F57" s="17">
        <f>TablaOcurrencia_APMT_16sectores!I56</f>
        <v>1.40958861639163</v>
      </c>
      <c r="G57" s="17">
        <f>TablaOcurrencia_APMT_16sectores!J56</f>
        <v>14.7992175152129</v>
      </c>
      <c r="H57" s="18">
        <f>TablaOcurrencia_APMT_16sectores!M56</f>
        <v>2.271211087707726E-3</v>
      </c>
      <c r="I57" s="19">
        <f>TablaOcurrencia_APMT_16sectores!N56</f>
        <v>0.82899204701331997</v>
      </c>
    </row>
    <row r="58" spans="1:9" ht="15.6" x14ac:dyDescent="0.3">
      <c r="A58" s="16" t="str">
        <f>TablaOcurrencia_APMT_16sectores!B57</f>
        <v>SW</v>
      </c>
      <c r="B58" s="17">
        <f>0.5*(TablaOcurrencia_APMT_16sectores!C57+TablaOcurrencia_APMT_16sectores!D57)</f>
        <v>236.25</v>
      </c>
      <c r="C58" s="17">
        <f>0.5*(TablaOcurrencia_APMT_16sectores!E57+TablaOcurrencia_APMT_16sectores!F57)</f>
        <v>2.75</v>
      </c>
      <c r="D58" s="17">
        <f>0.5*(TablaOcurrencia_APMT_16sectores!G57+TablaOcurrencia_APMT_16sectores!H57)</f>
        <v>15</v>
      </c>
      <c r="E58" s="17">
        <f>TablaOcurrencia_APMT_16sectores!K57</f>
        <v>229.23230088495501</v>
      </c>
      <c r="F58" s="17">
        <f>TablaOcurrencia_APMT_16sectores!I57</f>
        <v>2.6609536329646</v>
      </c>
      <c r="G58" s="17">
        <f>TablaOcurrencia_APMT_16sectores!J57</f>
        <v>15.239803514515099</v>
      </c>
      <c r="H58" s="18">
        <f>TablaOcurrencia_APMT_16sectores!M57</f>
        <v>2.2587181774343062E-3</v>
      </c>
      <c r="I58" s="19">
        <f>TablaOcurrencia_APMT_16sectores!N57</f>
        <v>0.82443213476352173</v>
      </c>
    </row>
    <row r="59" spans="1:9" ht="15.6" x14ac:dyDescent="0.3">
      <c r="A59" s="16" t="str">
        <f>TablaOcurrencia_APMT_16sectores!B58</f>
        <v>S</v>
      </c>
      <c r="B59" s="17">
        <f>0.5*(TablaOcurrencia_APMT_16sectores!C58+TablaOcurrencia_APMT_16sectores!D58)</f>
        <v>191.25</v>
      </c>
      <c r="C59" s="17">
        <f>0.5*(TablaOcurrencia_APMT_16sectores!E58+TablaOcurrencia_APMT_16sectores!F58)</f>
        <v>1.25</v>
      </c>
      <c r="D59" s="17">
        <f>0.5*(TablaOcurrencia_APMT_16sectores!G58+TablaOcurrencia_APMT_16sectores!H58)</f>
        <v>11</v>
      </c>
      <c r="E59" s="17">
        <f>TablaOcurrencia_APMT_16sectores!K58</f>
        <v>196.81588447653399</v>
      </c>
      <c r="F59" s="17">
        <f>TablaOcurrencia_APMT_16sectores!I58</f>
        <v>1.4007509583634099</v>
      </c>
      <c r="G59" s="17">
        <f>TablaOcurrencia_APMT_16sectores!J58</f>
        <v>10.946053346168</v>
      </c>
      <c r="H59" s="18">
        <f>TablaOcurrencia_APMT_16sectores!M58</f>
        <v>2.0763216874423764E-3</v>
      </c>
      <c r="I59" s="19">
        <f>TablaOcurrencia_APMT_16sectores!N58</f>
        <v>0.75785741591646738</v>
      </c>
    </row>
    <row r="60" spans="1:9" ht="15.6" x14ac:dyDescent="0.3">
      <c r="A60" s="16" t="str">
        <f>TablaOcurrencia_APMT_16sectores!B59</f>
        <v>SSW</v>
      </c>
      <c r="B60" s="17">
        <f>0.5*(TablaOcurrencia_APMT_16sectores!C59+TablaOcurrencia_APMT_16sectores!D59)</f>
        <v>213.75</v>
      </c>
      <c r="C60" s="17">
        <f>0.5*(TablaOcurrencia_APMT_16sectores!E59+TablaOcurrencia_APMT_16sectores!F59)</f>
        <v>3.75</v>
      </c>
      <c r="D60" s="17">
        <f>0.5*(TablaOcurrencia_APMT_16sectores!G59+TablaOcurrencia_APMT_16sectores!H59)</f>
        <v>15</v>
      </c>
      <c r="E60" s="17">
        <f>TablaOcurrencia_APMT_16sectores!K59</f>
        <v>209.12545235223101</v>
      </c>
      <c r="F60" s="17">
        <f>TablaOcurrencia_APMT_16sectores!I59</f>
        <v>3.6854187343787599</v>
      </c>
      <c r="G60" s="17">
        <f>TablaOcurrencia_APMT_16sectores!J59</f>
        <v>15.180095962209201</v>
      </c>
      <c r="H60" s="18">
        <f>TablaOcurrencia_APMT_16sectores!M59</f>
        <v>2.0713245233330087E-3</v>
      </c>
      <c r="I60" s="19">
        <f>TablaOcurrencia_APMT_16sectores!N59</f>
        <v>0.75603345101654806</v>
      </c>
    </row>
    <row r="61" spans="1:9" ht="15.6" x14ac:dyDescent="0.3">
      <c r="A61" s="16" t="str">
        <f>TablaOcurrencia_APMT_16sectores!B60</f>
        <v>SW</v>
      </c>
      <c r="B61" s="17">
        <f>0.5*(TablaOcurrencia_APMT_16sectores!C60+TablaOcurrencia_APMT_16sectores!D60)</f>
        <v>236.25</v>
      </c>
      <c r="C61" s="17">
        <f>0.5*(TablaOcurrencia_APMT_16sectores!E60+TablaOcurrencia_APMT_16sectores!F60)</f>
        <v>2.75</v>
      </c>
      <c r="D61" s="17">
        <f>0.5*(TablaOcurrencia_APMT_16sectores!G60+TablaOcurrencia_APMT_16sectores!H60)</f>
        <v>17</v>
      </c>
      <c r="E61" s="17">
        <f>TablaOcurrencia_APMT_16sectores!K60</f>
        <v>230.379100850546</v>
      </c>
      <c r="F61" s="17">
        <f>TablaOcurrencia_APMT_16sectores!I60</f>
        <v>2.6794849109355998</v>
      </c>
      <c r="G61" s="17">
        <f>TablaOcurrencia_APMT_16sectores!J60</f>
        <v>16.945132941833499</v>
      </c>
      <c r="H61" s="18">
        <f>TablaOcurrencia_APMT_16sectores!M60</f>
        <v>2.0563330310049048E-3</v>
      </c>
      <c r="I61" s="19">
        <f>TablaOcurrencia_APMT_16sectores!N60</f>
        <v>0.75056155631679022</v>
      </c>
    </row>
    <row r="62" spans="1:9" ht="15.6" x14ac:dyDescent="0.3">
      <c r="A62" s="16" t="str">
        <f>TablaOcurrencia_APMT_16sectores!B61</f>
        <v>S</v>
      </c>
      <c r="B62" s="17">
        <f>0.5*(TablaOcurrencia_APMT_16sectores!C61+TablaOcurrencia_APMT_16sectores!D61)</f>
        <v>191.25</v>
      </c>
      <c r="C62" s="17">
        <f>0.5*(TablaOcurrencia_APMT_16sectores!E61+TablaOcurrencia_APMT_16sectores!F61)</f>
        <v>1.75</v>
      </c>
      <c r="D62" s="17">
        <f>0.5*(TablaOcurrencia_APMT_16sectores!G61+TablaOcurrencia_APMT_16sectores!H61)</f>
        <v>17</v>
      </c>
      <c r="E62" s="17">
        <f>TablaOcurrencia_APMT_16sectores!K61</f>
        <v>196.48289473684201</v>
      </c>
      <c r="F62" s="17">
        <f>TablaOcurrencia_APMT_16sectores!I61</f>
        <v>1.8152527030263099</v>
      </c>
      <c r="G62" s="17">
        <f>TablaOcurrencia_APMT_16sectores!J61</f>
        <v>16.8969386846912</v>
      </c>
      <c r="H62" s="18">
        <f>TablaOcurrencia_APMT_16sectores!M61</f>
        <v>1.8989223615598148E-3</v>
      </c>
      <c r="I62" s="19">
        <f>TablaOcurrencia_APMT_16sectores!N61</f>
        <v>0.69310666196933235</v>
      </c>
    </row>
    <row r="63" spans="1:9" ht="15.6" x14ac:dyDescent="0.3">
      <c r="A63" s="16" t="str">
        <f>TablaOcurrencia_APMT_16sectores!B62</f>
        <v>WNW</v>
      </c>
      <c r="B63" s="17">
        <f>0.5*(TablaOcurrencia_APMT_16sectores!C62+TablaOcurrencia_APMT_16sectores!D62)</f>
        <v>303.75</v>
      </c>
      <c r="C63" s="17">
        <f>0.5*(TablaOcurrencia_APMT_16sectores!E62+TablaOcurrencia_APMT_16sectores!F62)</f>
        <v>1.25</v>
      </c>
      <c r="D63" s="17">
        <f>0.5*(TablaOcurrencia_APMT_16sectores!G62+TablaOcurrencia_APMT_16sectores!H62)</f>
        <v>17</v>
      </c>
      <c r="E63" s="17">
        <f>TablaOcurrencia_APMT_16sectores!K62</f>
        <v>300.778807947019</v>
      </c>
      <c r="F63" s="17">
        <f>TablaOcurrencia_APMT_16sectores!I62</f>
        <v>1.37676296768211</v>
      </c>
      <c r="G63" s="17">
        <f>TablaOcurrencia_APMT_16sectores!J62</f>
        <v>17.097298865532601</v>
      </c>
      <c r="H63" s="18">
        <f>TablaOcurrencia_APMT_16sectores!M62</f>
        <v>1.886429451286395E-3</v>
      </c>
      <c r="I63" s="19">
        <f>TablaOcurrencia_APMT_16sectores!N62</f>
        <v>0.68854674971953411</v>
      </c>
    </row>
    <row r="64" spans="1:9" ht="15.6" x14ac:dyDescent="0.3">
      <c r="A64" s="16" t="str">
        <f>TablaOcurrencia_APMT_16sectores!B63</f>
        <v>WNW</v>
      </c>
      <c r="B64" s="17">
        <f>0.5*(TablaOcurrencia_APMT_16sectores!C63+TablaOcurrencia_APMT_16sectores!D63)</f>
        <v>303.75</v>
      </c>
      <c r="C64" s="17">
        <f>0.5*(TablaOcurrencia_APMT_16sectores!E63+TablaOcurrencia_APMT_16sectores!F63)</f>
        <v>2.25</v>
      </c>
      <c r="D64" s="17">
        <f>0.5*(TablaOcurrencia_APMT_16sectores!G63+TablaOcurrencia_APMT_16sectores!H63)</f>
        <v>19</v>
      </c>
      <c r="E64" s="17">
        <f>TablaOcurrencia_APMT_16sectores!K63</f>
        <v>302.17043941411401</v>
      </c>
      <c r="F64" s="17">
        <f>TablaOcurrencia_APMT_16sectores!I63</f>
        <v>2.1378243086551199</v>
      </c>
      <c r="G64" s="17">
        <f>TablaOcurrencia_APMT_16sectores!J63</f>
        <v>19.286835999283799</v>
      </c>
      <c r="H64" s="18">
        <f>TablaOcurrencia_APMT_16sectores!M63</f>
        <v>1.876435123067659E-3</v>
      </c>
      <c r="I64" s="19">
        <f>TablaOcurrencia_APMT_16sectores!N63</f>
        <v>0.68489881991969559</v>
      </c>
    </row>
    <row r="65" spans="1:9" ht="15.6" x14ac:dyDescent="0.3">
      <c r="A65" s="16" t="str">
        <f>TablaOcurrencia_APMT_16sectores!B64</f>
        <v>S</v>
      </c>
      <c r="B65" s="17">
        <f>0.5*(TablaOcurrencia_APMT_16sectores!C64+TablaOcurrencia_APMT_16sectores!D64)</f>
        <v>191.25</v>
      </c>
      <c r="C65" s="17">
        <f>0.5*(TablaOcurrencia_APMT_16sectores!E64+TablaOcurrencia_APMT_16sectores!F64)</f>
        <v>3.25</v>
      </c>
      <c r="D65" s="17">
        <f>0.5*(TablaOcurrencia_APMT_16sectores!G64+TablaOcurrencia_APMT_16sectores!H64)</f>
        <v>9</v>
      </c>
      <c r="E65" s="17">
        <f>TablaOcurrencia_APMT_16sectores!K64</f>
        <v>184.21997300944599</v>
      </c>
      <c r="F65" s="17">
        <f>TablaOcurrencia_APMT_16sectores!I64</f>
        <v>3.20899068097166</v>
      </c>
      <c r="G65" s="17">
        <f>TablaOcurrencia_APMT_16sectores!J64</f>
        <v>9.2918959843263291</v>
      </c>
      <c r="H65" s="18">
        <f>TablaOcurrencia_APMT_16sectores!M64</f>
        <v>1.8514493025208194E-3</v>
      </c>
      <c r="I65" s="19">
        <f>TablaOcurrencia_APMT_16sectores!N64</f>
        <v>0.67577899542009912</v>
      </c>
    </row>
    <row r="66" spans="1:9" ht="15.6" x14ac:dyDescent="0.3">
      <c r="A66" s="16" t="str">
        <f>TablaOcurrencia_APMT_16sectores!B65</f>
        <v>SSE</v>
      </c>
      <c r="B66" s="17">
        <f>0.5*(TablaOcurrencia_APMT_16sectores!C65+TablaOcurrencia_APMT_16sectores!D65)</f>
        <v>168.75</v>
      </c>
      <c r="C66" s="17">
        <f>0.5*(TablaOcurrencia_APMT_16sectores!E65+TablaOcurrencia_APMT_16sectores!F65)</f>
        <v>2.25</v>
      </c>
      <c r="D66" s="17">
        <f>0.5*(TablaOcurrencia_APMT_16sectores!G65+TablaOcurrencia_APMT_16sectores!H65)</f>
        <v>7</v>
      </c>
      <c r="E66" s="17">
        <f>TablaOcurrencia_APMT_16sectores!K65</f>
        <v>176.84188034188</v>
      </c>
      <c r="F66" s="17">
        <f>TablaOcurrencia_APMT_16sectores!I65</f>
        <v>2.2411282794871799</v>
      </c>
      <c r="G66" s="17">
        <f>TablaOcurrencia_APMT_16sectores!J65</f>
        <v>7.4756036802023598</v>
      </c>
      <c r="H66" s="18">
        <f>TablaOcurrencia_APMT_16sectores!M65</f>
        <v>1.7540046023881448E-3</v>
      </c>
      <c r="I66" s="19">
        <f>TablaOcurrencia_APMT_16sectores!N65</f>
        <v>0.64021167987167282</v>
      </c>
    </row>
    <row r="67" spans="1:9" ht="15.6" x14ac:dyDescent="0.3">
      <c r="A67" s="16" t="str">
        <f>TablaOcurrencia_APMT_16sectores!B66</f>
        <v>SSW</v>
      </c>
      <c r="B67" s="17">
        <f>0.5*(TablaOcurrencia_APMT_16sectores!C66+TablaOcurrencia_APMT_16sectores!D66)</f>
        <v>213.75</v>
      </c>
      <c r="C67" s="17">
        <f>0.5*(TablaOcurrencia_APMT_16sectores!E66+TablaOcurrencia_APMT_16sectores!F66)</f>
        <v>2.25</v>
      </c>
      <c r="D67" s="17">
        <f>0.5*(TablaOcurrencia_APMT_16sectores!G66+TablaOcurrencia_APMT_16sectores!H66)</f>
        <v>21</v>
      </c>
      <c r="E67" s="17">
        <f>TablaOcurrencia_APMT_16sectores!K66</f>
        <v>216.536903039073</v>
      </c>
      <c r="F67" s="17">
        <f>TablaOcurrencia_APMT_16sectores!I66</f>
        <v>2.2182605658465899</v>
      </c>
      <c r="G67" s="17">
        <f>TablaOcurrencia_APMT_16sectores!J66</f>
        <v>21.130831587285499</v>
      </c>
      <c r="H67" s="18">
        <f>TablaOcurrencia_APMT_16sectores!M66</f>
        <v>1.7265201997866211E-3</v>
      </c>
      <c r="I67" s="19">
        <f>TablaOcurrencia_APMT_16sectores!N66</f>
        <v>0.63017987292211675</v>
      </c>
    </row>
    <row r="68" spans="1:9" ht="15.6" x14ac:dyDescent="0.3">
      <c r="A68" s="16" t="str">
        <f>TablaOcurrencia_APMT_16sectores!B67</f>
        <v>W</v>
      </c>
      <c r="B68" s="17">
        <f>0.5*(TablaOcurrencia_APMT_16sectores!C67+TablaOcurrencia_APMT_16sectores!D67)</f>
        <v>281.25</v>
      </c>
      <c r="C68" s="17">
        <f>0.5*(TablaOcurrencia_APMT_16sectores!E67+TablaOcurrencia_APMT_16sectores!F67)</f>
        <v>1.25</v>
      </c>
      <c r="D68" s="17">
        <f>0.5*(TablaOcurrencia_APMT_16sectores!G67+TablaOcurrencia_APMT_16sectores!H67)</f>
        <v>15</v>
      </c>
      <c r="E68" s="17">
        <f>TablaOcurrencia_APMT_16sectores!K67</f>
        <v>282.85671641790998</v>
      </c>
      <c r="F68" s="17">
        <f>TablaOcurrencia_APMT_16sectores!I67</f>
        <v>1.3744269182089499</v>
      </c>
      <c r="G68" s="17">
        <f>TablaOcurrencia_APMT_16sectores!J67</f>
        <v>14.8804685820778</v>
      </c>
      <c r="H68" s="18">
        <f>TablaOcurrencia_APMT_16sectores!M67</f>
        <v>1.6740499766382578E-3</v>
      </c>
      <c r="I68" s="19">
        <f>TablaOcurrencia_APMT_16sectores!N67</f>
        <v>0.61102824147296408</v>
      </c>
    </row>
    <row r="69" spans="1:9" ht="15.6" x14ac:dyDescent="0.3">
      <c r="A69" s="16" t="str">
        <f>TablaOcurrencia_APMT_16sectores!B68</f>
        <v>W</v>
      </c>
      <c r="B69" s="17">
        <f>0.5*(TablaOcurrencia_APMT_16sectores!C68+TablaOcurrencia_APMT_16sectores!D68)</f>
        <v>281.25</v>
      </c>
      <c r="C69" s="17">
        <f>0.5*(TablaOcurrencia_APMT_16sectores!E68+TablaOcurrencia_APMT_16sectores!F68)</f>
        <v>2.25</v>
      </c>
      <c r="D69" s="17">
        <f>0.5*(TablaOcurrencia_APMT_16sectores!G68+TablaOcurrencia_APMT_16sectores!H68)</f>
        <v>17</v>
      </c>
      <c r="E69" s="17">
        <f>TablaOcurrencia_APMT_16sectores!K68</f>
        <v>282.16800000000001</v>
      </c>
      <c r="F69" s="17">
        <f>TablaOcurrencia_APMT_16sectores!I68</f>
        <v>2.1640800728</v>
      </c>
      <c r="G69" s="17">
        <f>TablaOcurrencia_APMT_16sectores!J68</f>
        <v>17.2106358384227</v>
      </c>
      <c r="H69" s="18">
        <f>TablaOcurrencia_APMT_16sectores!M68</f>
        <v>1.5616137841774794E-3</v>
      </c>
      <c r="I69" s="19">
        <f>TablaOcurrencia_APMT_16sectores!N68</f>
        <v>0.56998903122477995</v>
      </c>
    </row>
    <row r="70" spans="1:9" ht="15.6" x14ac:dyDescent="0.3">
      <c r="A70" s="16" t="str">
        <f>TablaOcurrencia_APMT_16sectores!B69</f>
        <v>WSW</v>
      </c>
      <c r="B70" s="17">
        <f>0.5*(TablaOcurrencia_APMT_16sectores!C69+TablaOcurrencia_APMT_16sectores!D69)</f>
        <v>258.75</v>
      </c>
      <c r="C70" s="17">
        <f>0.5*(TablaOcurrencia_APMT_16sectores!E69+TablaOcurrencia_APMT_16sectores!F69)</f>
        <v>2.25</v>
      </c>
      <c r="D70" s="17">
        <f>0.5*(TablaOcurrencia_APMT_16sectores!G69+TablaOcurrencia_APMT_16sectores!H69)</f>
        <v>15</v>
      </c>
      <c r="E70" s="17">
        <f>TablaOcurrencia_APMT_16sectores!K69</f>
        <v>257.35227272727201</v>
      </c>
      <c r="F70" s="17">
        <f>TablaOcurrencia_APMT_16sectores!I69</f>
        <v>2.1454708532467501</v>
      </c>
      <c r="G70" s="17">
        <f>TablaOcurrencia_APMT_16sectores!J69</f>
        <v>15.3714671517191</v>
      </c>
      <c r="H70" s="18">
        <f>TablaOcurrencia_APMT_16sectores!M69</f>
        <v>1.5391265456853236E-3</v>
      </c>
      <c r="I70" s="19">
        <f>TablaOcurrencia_APMT_16sectores!N69</f>
        <v>0.56178118917514308</v>
      </c>
    </row>
    <row r="71" spans="1:9" ht="15.6" x14ac:dyDescent="0.3">
      <c r="A71" s="16" t="str">
        <f>TablaOcurrencia_APMT_16sectores!B70</f>
        <v>WNW</v>
      </c>
      <c r="B71" s="17">
        <f>0.5*(TablaOcurrencia_APMT_16sectores!C70+TablaOcurrencia_APMT_16sectores!D70)</f>
        <v>303.75</v>
      </c>
      <c r="C71" s="17">
        <f>0.5*(TablaOcurrencia_APMT_16sectores!E70+TablaOcurrencia_APMT_16sectores!F70)</f>
        <v>1.25</v>
      </c>
      <c r="D71" s="17">
        <f>0.5*(TablaOcurrencia_APMT_16sectores!G70+TablaOcurrencia_APMT_16sectores!H70)</f>
        <v>15</v>
      </c>
      <c r="E71" s="17">
        <f>TablaOcurrencia_APMT_16sectores!K70</f>
        <v>298.64784053156097</v>
      </c>
      <c r="F71" s="17">
        <f>TablaOcurrencia_APMT_16sectores!I70</f>
        <v>1.3790366034883701</v>
      </c>
      <c r="G71" s="17">
        <f>TablaOcurrencia_APMT_16sectores!J70</f>
        <v>15.2012067432628</v>
      </c>
      <c r="H71" s="18">
        <f>TablaOcurrencia_APMT_16sectores!M70</f>
        <v>1.504146396919748E-3</v>
      </c>
      <c r="I71" s="19">
        <f>TablaOcurrencia_APMT_16sectores!N70</f>
        <v>0.54901343487570808</v>
      </c>
    </row>
    <row r="72" spans="1:9" ht="15.6" x14ac:dyDescent="0.3">
      <c r="A72" s="16" t="str">
        <f>TablaOcurrencia_APMT_16sectores!B71</f>
        <v>SSW</v>
      </c>
      <c r="B72" s="17">
        <f>0.5*(TablaOcurrencia_APMT_16sectores!C71+TablaOcurrencia_APMT_16sectores!D71)</f>
        <v>213.75</v>
      </c>
      <c r="C72" s="17">
        <f>0.5*(TablaOcurrencia_APMT_16sectores!E71+TablaOcurrencia_APMT_16sectores!F71)</f>
        <v>1.25</v>
      </c>
      <c r="D72" s="17">
        <f>0.5*(TablaOcurrencia_APMT_16sectores!G71+TablaOcurrencia_APMT_16sectores!H71)</f>
        <v>17</v>
      </c>
      <c r="E72" s="17">
        <f>TablaOcurrencia_APMT_16sectores!K71</f>
        <v>217.78787878787799</v>
      </c>
      <c r="F72" s="17">
        <f>TablaOcurrencia_APMT_16sectores!I71</f>
        <v>1.3961381030302999</v>
      </c>
      <c r="G72" s="17">
        <f>TablaOcurrencia_APMT_16sectores!J71</f>
        <v>16.860229456216999</v>
      </c>
      <c r="H72" s="18">
        <f>TablaOcurrencia_APMT_16sectores!M71</f>
        <v>1.4841577404822762E-3</v>
      </c>
      <c r="I72" s="19">
        <f>TablaOcurrencia_APMT_16sectores!N71</f>
        <v>0.54171757527603082</v>
      </c>
    </row>
    <row r="73" spans="1:9" ht="15.6" x14ac:dyDescent="0.3">
      <c r="A73" s="16" t="str">
        <f>TablaOcurrencia_APMT_16sectores!B72</f>
        <v>SSE</v>
      </c>
      <c r="B73" s="17">
        <f>0.5*(TablaOcurrencia_APMT_16sectores!C72+TablaOcurrencia_APMT_16sectores!D72)</f>
        <v>168.75</v>
      </c>
      <c r="C73" s="17">
        <f>0.5*(TablaOcurrencia_APMT_16sectores!E72+TablaOcurrencia_APMT_16sectores!F72)</f>
        <v>3.25</v>
      </c>
      <c r="D73" s="17">
        <f>0.5*(TablaOcurrencia_APMT_16sectores!G72+TablaOcurrencia_APMT_16sectores!H72)</f>
        <v>9</v>
      </c>
      <c r="E73" s="17">
        <f>TablaOcurrencia_APMT_16sectores!K72</f>
        <v>177.17406143344701</v>
      </c>
      <c r="F73" s="17">
        <f>TablaOcurrencia_APMT_16sectores!I72</f>
        <v>3.2174403936860001</v>
      </c>
      <c r="G73" s="17">
        <f>TablaOcurrencia_APMT_16sectores!J72</f>
        <v>8.9648704339388097</v>
      </c>
      <c r="H73" s="18">
        <f>TablaOcurrencia_APMT_16sectores!M72</f>
        <v>1.4641690840448045E-3</v>
      </c>
      <c r="I73" s="19">
        <f>TablaOcurrencia_APMT_16sectores!N72</f>
        <v>0.53442171567635366</v>
      </c>
    </row>
    <row r="74" spans="1:9" ht="15.6" x14ac:dyDescent="0.3">
      <c r="A74" s="16" t="str">
        <f>TablaOcurrencia_APMT_16sectores!B73</f>
        <v>SSW</v>
      </c>
      <c r="B74" s="17">
        <f>0.5*(TablaOcurrencia_APMT_16sectores!C73+TablaOcurrencia_APMT_16sectores!D73)</f>
        <v>213.75</v>
      </c>
      <c r="C74" s="17">
        <f>0.5*(TablaOcurrencia_APMT_16sectores!E73+TablaOcurrencia_APMT_16sectores!F73)</f>
        <v>3.25</v>
      </c>
      <c r="D74" s="17">
        <f>0.5*(TablaOcurrencia_APMT_16sectores!G73+TablaOcurrencia_APMT_16sectores!H73)</f>
        <v>13</v>
      </c>
      <c r="E74" s="17">
        <f>TablaOcurrencia_APMT_16sectores!K73</f>
        <v>208.99801980198001</v>
      </c>
      <c r="F74" s="17">
        <f>TablaOcurrencia_APMT_16sectores!I73</f>
        <v>3.1664278483168302</v>
      </c>
      <c r="G74" s="17">
        <f>TablaOcurrencia_APMT_16sectores!J73</f>
        <v>13.347987651012399</v>
      </c>
      <c r="H74" s="18">
        <f>TablaOcurrencia_APMT_16sectores!M73</f>
        <v>1.2617839376154033E-3</v>
      </c>
      <c r="I74" s="19">
        <f>TablaOcurrencia_APMT_16sectores!N73</f>
        <v>0.46055113722962221</v>
      </c>
    </row>
    <row r="75" spans="1:9" ht="15.6" x14ac:dyDescent="0.3">
      <c r="A75" s="16" t="str">
        <f>TablaOcurrencia_APMT_16sectores!B74</f>
        <v>WSW</v>
      </c>
      <c r="B75" s="17">
        <f>0.5*(TablaOcurrencia_APMT_16sectores!C74+TablaOcurrencia_APMT_16sectores!D74)</f>
        <v>258.75</v>
      </c>
      <c r="C75" s="17">
        <f>0.5*(TablaOcurrencia_APMT_16sectores!E74+TablaOcurrencia_APMT_16sectores!F74)</f>
        <v>1.25</v>
      </c>
      <c r="D75" s="17">
        <f>0.5*(TablaOcurrencia_APMT_16sectores!G74+TablaOcurrencia_APMT_16sectores!H74)</f>
        <v>15</v>
      </c>
      <c r="E75" s="17">
        <f>TablaOcurrencia_APMT_16sectores!K74</f>
        <v>259.056451612903</v>
      </c>
      <c r="F75" s="17">
        <f>TablaOcurrencia_APMT_16sectores!I74</f>
        <v>1.3792097308467699</v>
      </c>
      <c r="G75" s="17">
        <f>TablaOcurrencia_APMT_16sectores!J74</f>
        <v>14.6790046805129</v>
      </c>
      <c r="H75" s="18">
        <f>TablaOcurrencia_APMT_16sectores!M74</f>
        <v>1.2392966991232475E-3</v>
      </c>
      <c r="I75" s="19">
        <f>TablaOcurrencia_APMT_16sectores!N74</f>
        <v>0.45234329517998534</v>
      </c>
    </row>
    <row r="76" spans="1:9" ht="15.6" x14ac:dyDescent="0.3">
      <c r="A76" s="16" t="str">
        <f>TablaOcurrencia_APMT_16sectores!B75</f>
        <v>S</v>
      </c>
      <c r="B76" s="17">
        <f>0.5*(TablaOcurrencia_APMT_16sectores!C75+TablaOcurrencia_APMT_16sectores!D75)</f>
        <v>191.25</v>
      </c>
      <c r="C76" s="17">
        <f>0.5*(TablaOcurrencia_APMT_16sectores!E75+TablaOcurrencia_APMT_16sectores!F75)</f>
        <v>3.25</v>
      </c>
      <c r="D76" s="17">
        <f>0.5*(TablaOcurrencia_APMT_16sectores!G75+TablaOcurrencia_APMT_16sectores!H75)</f>
        <v>13</v>
      </c>
      <c r="E76" s="17">
        <f>TablaOcurrencia_APMT_16sectores!K75</f>
        <v>196.194154488517</v>
      </c>
      <c r="F76" s="17">
        <f>TablaOcurrencia_APMT_16sectores!I75</f>
        <v>3.1629938665970698</v>
      </c>
      <c r="G76" s="17">
        <f>TablaOcurrencia_APMT_16sectores!J75</f>
        <v>13.1593967043869</v>
      </c>
      <c r="H76" s="18">
        <f>TablaOcurrencia_APMT_16sectores!M75</f>
        <v>1.19682080419362E-3</v>
      </c>
      <c r="I76" s="19">
        <f>TablaOcurrencia_APMT_16sectores!N75</f>
        <v>0.43683959353067137</v>
      </c>
    </row>
    <row r="77" spans="1:9" ht="15.6" x14ac:dyDescent="0.3">
      <c r="A77" s="16" t="str">
        <f>TablaOcurrencia_APMT_16sectores!B76</f>
        <v>SSW</v>
      </c>
      <c r="B77" s="17">
        <f>0.5*(TablaOcurrencia_APMT_16sectores!C76+TablaOcurrencia_APMT_16sectores!D76)</f>
        <v>213.75</v>
      </c>
      <c r="C77" s="17">
        <f>0.5*(TablaOcurrencia_APMT_16sectores!E76+TablaOcurrencia_APMT_16sectores!F76)</f>
        <v>1.75</v>
      </c>
      <c r="D77" s="17">
        <f>0.5*(TablaOcurrencia_APMT_16sectores!G76+TablaOcurrencia_APMT_16sectores!H76)</f>
        <v>21</v>
      </c>
      <c r="E77" s="17">
        <f>TablaOcurrencia_APMT_16sectores!K76</f>
        <v>216.36942675159199</v>
      </c>
      <c r="F77" s="17">
        <f>TablaOcurrencia_APMT_16sectores!I76</f>
        <v>1.8438556995753701</v>
      </c>
      <c r="G77" s="17">
        <f>TablaOcurrencia_APMT_16sectores!J76</f>
        <v>21.187104281487699</v>
      </c>
      <c r="H77" s="18">
        <f>TablaOcurrencia_APMT_16sectores!M76</f>
        <v>1.1768321477561483E-3</v>
      </c>
      <c r="I77" s="19">
        <f>TablaOcurrencia_APMT_16sectores!N76</f>
        <v>0.42954373393099415</v>
      </c>
    </row>
    <row r="78" spans="1:9" ht="15.6" x14ac:dyDescent="0.3">
      <c r="A78" s="16" t="str">
        <f>TablaOcurrencia_APMT_16sectores!B77</f>
        <v>WNW</v>
      </c>
      <c r="B78" s="17">
        <f>0.5*(TablaOcurrencia_APMT_16sectores!C77+TablaOcurrencia_APMT_16sectores!D77)</f>
        <v>303.75</v>
      </c>
      <c r="C78" s="17">
        <f>0.5*(TablaOcurrencia_APMT_16sectores!E77+TablaOcurrencia_APMT_16sectores!F77)</f>
        <v>1.75</v>
      </c>
      <c r="D78" s="17">
        <f>0.5*(TablaOcurrencia_APMT_16sectores!G77+TablaOcurrencia_APMT_16sectores!H77)</f>
        <v>21</v>
      </c>
      <c r="E78" s="17">
        <f>TablaOcurrencia_APMT_16sectores!K77</f>
        <v>303.15170940170901</v>
      </c>
      <c r="F78" s="17">
        <f>TablaOcurrencia_APMT_16sectores!I77</f>
        <v>1.7526667418803401</v>
      </c>
      <c r="G78" s="17">
        <f>TablaOcurrencia_APMT_16sectores!J77</f>
        <v>21.262174208156502</v>
      </c>
      <c r="H78" s="18">
        <f>TablaOcurrencia_APMT_16sectores!M77</f>
        <v>1.1693364015920966E-3</v>
      </c>
      <c r="I78" s="19">
        <f>TablaOcurrencia_APMT_16sectores!N77</f>
        <v>0.42680778658111523</v>
      </c>
    </row>
    <row r="79" spans="1:9" ht="15.6" x14ac:dyDescent="0.3">
      <c r="A79" s="16" t="str">
        <f>TablaOcurrencia_APMT_16sectores!B78</f>
        <v>S</v>
      </c>
      <c r="B79" s="17">
        <f>0.5*(TablaOcurrencia_APMT_16sectores!C78+TablaOcurrencia_APMT_16sectores!D78)</f>
        <v>191.25</v>
      </c>
      <c r="C79" s="17">
        <f>0.5*(TablaOcurrencia_APMT_16sectores!E78+TablaOcurrencia_APMT_16sectores!F78)</f>
        <v>2.75</v>
      </c>
      <c r="D79" s="17">
        <f>0.5*(TablaOcurrencia_APMT_16sectores!G78+TablaOcurrencia_APMT_16sectores!H78)</f>
        <v>19</v>
      </c>
      <c r="E79" s="17">
        <f>TablaOcurrencia_APMT_16sectores!K78</f>
        <v>197.69300225733599</v>
      </c>
      <c r="F79" s="17">
        <f>TablaOcurrencia_APMT_16sectores!I78</f>
        <v>2.7565734616252802</v>
      </c>
      <c r="G79" s="17">
        <f>TablaOcurrencia_APMT_16sectores!J78</f>
        <v>18.974990323434302</v>
      </c>
      <c r="H79" s="18">
        <f>TablaOcurrencia_APMT_16sectores!M78</f>
        <v>1.1068718502249973E-3</v>
      </c>
      <c r="I79" s="19">
        <f>TablaOcurrencia_APMT_16sectores!N78</f>
        <v>0.40400822533212399</v>
      </c>
    </row>
    <row r="80" spans="1:9" ht="15.6" x14ac:dyDescent="0.3">
      <c r="A80" s="16" t="str">
        <f>TablaOcurrencia_APMT_16sectores!B79</f>
        <v>WSW</v>
      </c>
      <c r="B80" s="17">
        <f>0.5*(TablaOcurrencia_APMT_16sectores!C79+TablaOcurrencia_APMT_16sectores!D79)</f>
        <v>258.75</v>
      </c>
      <c r="C80" s="17">
        <f>0.5*(TablaOcurrencia_APMT_16sectores!E79+TablaOcurrencia_APMT_16sectores!F79)</f>
        <v>2.25</v>
      </c>
      <c r="D80" s="17">
        <f>0.5*(TablaOcurrencia_APMT_16sectores!G79+TablaOcurrencia_APMT_16sectores!H79)</f>
        <v>17</v>
      </c>
      <c r="E80" s="17">
        <f>TablaOcurrencia_APMT_16sectores!K79</f>
        <v>258.85680751173697</v>
      </c>
      <c r="F80" s="17">
        <f>TablaOcurrencia_APMT_16sectores!I79</f>
        <v>2.1955963147887299</v>
      </c>
      <c r="G80" s="17">
        <f>TablaOcurrencia_APMT_16sectores!J79</f>
        <v>16.8737902594162</v>
      </c>
      <c r="H80" s="18">
        <f>TablaOcurrencia_APMT_16sectores!M79</f>
        <v>1.0643959552953698E-3</v>
      </c>
      <c r="I80" s="19">
        <f>TablaOcurrencia_APMT_16sectores!N79</f>
        <v>0.38850452368281002</v>
      </c>
    </row>
    <row r="81" spans="1:9" ht="15.6" x14ac:dyDescent="0.3">
      <c r="A81" s="16" t="str">
        <f>TablaOcurrencia_APMT_16sectores!B80</f>
        <v>SSW</v>
      </c>
      <c r="B81" s="17">
        <f>0.5*(TablaOcurrencia_APMT_16sectores!C80+TablaOcurrencia_APMT_16sectores!D80)</f>
        <v>213.75</v>
      </c>
      <c r="C81" s="17">
        <f>0.5*(TablaOcurrencia_APMT_16sectores!E80+TablaOcurrencia_APMT_16sectores!F80)</f>
        <v>3.75</v>
      </c>
      <c r="D81" s="17">
        <f>0.5*(TablaOcurrencia_APMT_16sectores!G80+TablaOcurrencia_APMT_16sectores!H80)</f>
        <v>19</v>
      </c>
      <c r="E81" s="17">
        <f>TablaOcurrencia_APMT_16sectores!K80</f>
        <v>211.256470588235</v>
      </c>
      <c r="F81" s="17">
        <f>TablaOcurrencia_APMT_16sectores!I80</f>
        <v>3.6990307545882302</v>
      </c>
      <c r="G81" s="17">
        <f>TablaOcurrencia_APMT_16sectores!J80</f>
        <v>18.866179789817899</v>
      </c>
      <c r="H81" s="18">
        <f>TablaOcurrencia_APMT_16sectores!M80</f>
        <v>1.061897373240686E-3</v>
      </c>
      <c r="I81" s="19">
        <f>TablaOcurrencia_APMT_16sectores!N80</f>
        <v>0.38759254123285036</v>
      </c>
    </row>
    <row r="82" spans="1:9" ht="15.6" x14ac:dyDescent="0.3">
      <c r="A82" s="16" t="str">
        <f>TablaOcurrencia_APMT_16sectores!B81</f>
        <v>SW</v>
      </c>
      <c r="B82" s="17">
        <f>0.5*(TablaOcurrencia_APMT_16sectores!C81+TablaOcurrencia_APMT_16sectores!D81)</f>
        <v>236.25</v>
      </c>
      <c r="C82" s="17">
        <f>0.5*(TablaOcurrencia_APMT_16sectores!E81+TablaOcurrencia_APMT_16sectores!F81)</f>
        <v>2.25</v>
      </c>
      <c r="D82" s="17">
        <f>0.5*(TablaOcurrencia_APMT_16sectores!G81+TablaOcurrencia_APMT_16sectores!H81)</f>
        <v>19</v>
      </c>
      <c r="E82" s="17">
        <f>TablaOcurrencia_APMT_16sectores!K81</f>
        <v>230.73349056603701</v>
      </c>
      <c r="F82" s="17">
        <f>TablaOcurrencia_APMT_16sectores!I81</f>
        <v>2.2502359162735801</v>
      </c>
      <c r="G82" s="17">
        <f>TablaOcurrencia_APMT_16sectores!J81</f>
        <v>19.108685149418498</v>
      </c>
      <c r="H82" s="18">
        <f>TablaOcurrencia_APMT_16sectores!M81</f>
        <v>1.0593987911860019E-3</v>
      </c>
      <c r="I82" s="19">
        <f>TablaOcurrencia_APMT_16sectores!N81</f>
        <v>0.3866805587828907</v>
      </c>
    </row>
    <row r="83" spans="1:9" ht="15.6" x14ac:dyDescent="0.3">
      <c r="A83" s="16" t="str">
        <f>TablaOcurrencia_APMT_16sectores!B82</f>
        <v>SW</v>
      </c>
      <c r="B83" s="17">
        <f>0.5*(TablaOcurrencia_APMT_16sectores!C82+TablaOcurrencia_APMT_16sectores!D82)</f>
        <v>236.25</v>
      </c>
      <c r="C83" s="17">
        <f>0.5*(TablaOcurrencia_APMT_16sectores!E82+TablaOcurrencia_APMT_16sectores!F82)</f>
        <v>1.75</v>
      </c>
      <c r="D83" s="17">
        <f>0.5*(TablaOcurrencia_APMT_16sectores!G82+TablaOcurrencia_APMT_16sectores!H82)</f>
        <v>11</v>
      </c>
      <c r="E83" s="17">
        <f>TablaOcurrencia_APMT_16sectores!K82</f>
        <v>228.888337468982</v>
      </c>
      <c r="F83" s="17">
        <f>TablaOcurrencia_APMT_16sectores!I82</f>
        <v>1.6691563985111599</v>
      </c>
      <c r="G83" s="17">
        <f>TablaOcurrencia_APMT_16sectores!J82</f>
        <v>11.690269036648401</v>
      </c>
      <c r="H83" s="18">
        <f>TablaOcurrencia_APMT_16sectores!M82</f>
        <v>1.0069285680376387E-3</v>
      </c>
      <c r="I83" s="19">
        <f>TablaOcurrencia_APMT_16sectores!N82</f>
        <v>0.3675289273337381</v>
      </c>
    </row>
    <row r="84" spans="1:9" ht="15.6" x14ac:dyDescent="0.3">
      <c r="A84" s="16" t="str">
        <f>TablaOcurrencia_APMT_16sectores!B83</f>
        <v>SSE</v>
      </c>
      <c r="B84" s="17">
        <f>0.5*(TablaOcurrencia_APMT_16sectores!C83+TablaOcurrencia_APMT_16sectores!D83)</f>
        <v>168.75</v>
      </c>
      <c r="C84" s="17">
        <f>0.5*(TablaOcurrencia_APMT_16sectores!E83+TablaOcurrencia_APMT_16sectores!F83)</f>
        <v>1.75</v>
      </c>
      <c r="D84" s="17">
        <f>0.5*(TablaOcurrencia_APMT_16sectores!G83+TablaOcurrencia_APMT_16sectores!H83)</f>
        <v>9</v>
      </c>
      <c r="E84" s="17">
        <f>TablaOcurrencia_APMT_16sectores!K83</f>
        <v>178.63840399002399</v>
      </c>
      <c r="F84" s="17">
        <f>TablaOcurrencia_APMT_16sectores!I83</f>
        <v>1.7949327418952601</v>
      </c>
      <c r="G84" s="17">
        <f>TablaOcurrencia_APMT_16sectores!J83</f>
        <v>9.2477847763208398</v>
      </c>
      <c r="H84" s="18">
        <f>TablaOcurrencia_APMT_16sectores!M83</f>
        <v>1.0019314039282708E-3</v>
      </c>
      <c r="I84" s="19">
        <f>TablaOcurrencia_APMT_16sectores!N83</f>
        <v>0.36570496243381878</v>
      </c>
    </row>
    <row r="85" spans="1:9" ht="15.6" x14ac:dyDescent="0.3">
      <c r="A85" s="16" t="str">
        <f>TablaOcurrencia_APMT_16sectores!B84</f>
        <v>S</v>
      </c>
      <c r="B85" s="17">
        <f>0.5*(TablaOcurrencia_APMT_16sectores!C84+TablaOcurrencia_APMT_16sectores!D84)</f>
        <v>191.25</v>
      </c>
      <c r="C85" s="17">
        <f>0.5*(TablaOcurrencia_APMT_16sectores!E84+TablaOcurrencia_APMT_16sectores!F84)</f>
        <v>1.25</v>
      </c>
      <c r="D85" s="17">
        <f>0.5*(TablaOcurrencia_APMT_16sectores!G84+TablaOcurrencia_APMT_16sectores!H84)</f>
        <v>13</v>
      </c>
      <c r="E85" s="17">
        <f>TablaOcurrencia_APMT_16sectores!K84</f>
        <v>197.86046511627899</v>
      </c>
      <c r="F85" s="17">
        <f>TablaOcurrencia_APMT_16sectores!I84</f>
        <v>1.39561762842377</v>
      </c>
      <c r="G85" s="17">
        <f>TablaOcurrencia_APMT_16sectores!J84</f>
        <v>12.5661797017449</v>
      </c>
      <c r="H85" s="18">
        <f>TablaOcurrencia_APMT_16sectores!M84</f>
        <v>9.6695125516269519E-4</v>
      </c>
      <c r="I85" s="19">
        <f>TablaOcurrencia_APMT_16sectores!N84</f>
        <v>0.35293720813438373</v>
      </c>
    </row>
    <row r="86" spans="1:9" ht="15.6" x14ac:dyDescent="0.3">
      <c r="A86" s="16" t="str">
        <f>TablaOcurrencia_APMT_16sectores!B85</f>
        <v>S</v>
      </c>
      <c r="B86" s="17">
        <f>0.5*(TablaOcurrencia_APMT_16sectores!C85+TablaOcurrencia_APMT_16sectores!D85)</f>
        <v>191.25</v>
      </c>
      <c r="C86" s="17">
        <f>0.5*(TablaOcurrencia_APMT_16sectores!E85+TablaOcurrencia_APMT_16sectores!F85)</f>
        <v>3.25</v>
      </c>
      <c r="D86" s="17">
        <f>0.5*(TablaOcurrencia_APMT_16sectores!G85+TablaOcurrencia_APMT_16sectores!H85)</f>
        <v>11</v>
      </c>
      <c r="E86" s="17">
        <f>TablaOcurrencia_APMT_16sectores!K85</f>
        <v>187.883116883116</v>
      </c>
      <c r="F86" s="17">
        <f>TablaOcurrencia_APMT_16sectores!I85</f>
        <v>3.2315793410389602</v>
      </c>
      <c r="G86" s="17">
        <f>TablaOcurrencia_APMT_16sectores!J85</f>
        <v>10.8302774053696</v>
      </c>
      <c r="H86" s="18">
        <f>TablaOcurrencia_APMT_16sectores!M85</f>
        <v>9.619540910533272E-4</v>
      </c>
      <c r="I86" s="19">
        <f>TablaOcurrencia_APMT_16sectores!N85</f>
        <v>0.35111324323446447</v>
      </c>
    </row>
    <row r="87" spans="1:9" ht="15.6" x14ac:dyDescent="0.3">
      <c r="A87" s="16" t="str">
        <f>TablaOcurrencia_APMT_16sectores!B86</f>
        <v>S</v>
      </c>
      <c r="B87" s="17">
        <f>0.5*(TablaOcurrencia_APMT_16sectores!C86+TablaOcurrencia_APMT_16sectores!D86)</f>
        <v>191.25</v>
      </c>
      <c r="C87" s="17">
        <f>0.5*(TablaOcurrencia_APMT_16sectores!E86+TablaOcurrencia_APMT_16sectores!F86)</f>
        <v>3.75</v>
      </c>
      <c r="D87" s="17">
        <f>0.5*(TablaOcurrencia_APMT_16sectores!G86+TablaOcurrencia_APMT_16sectores!H86)</f>
        <v>15</v>
      </c>
      <c r="E87" s="17">
        <f>TablaOcurrencia_APMT_16sectores!K86</f>
        <v>199.16338028169</v>
      </c>
      <c r="F87" s="17">
        <f>TablaOcurrencia_APMT_16sectores!I86</f>
        <v>3.7095889014084502</v>
      </c>
      <c r="G87" s="17">
        <f>TablaOcurrencia_APMT_16sectores!J86</f>
        <v>15.0607692780482</v>
      </c>
      <c r="H87" s="18">
        <f>TablaOcurrencia_APMT_16sectores!M86</f>
        <v>8.8699662941280825E-4</v>
      </c>
      <c r="I87" s="19">
        <f>TablaOcurrencia_APMT_16sectores!N86</f>
        <v>0.32375376973567499</v>
      </c>
    </row>
    <row r="88" spans="1:9" ht="15.6" x14ac:dyDescent="0.3">
      <c r="A88" s="16" t="str">
        <f>TablaOcurrencia_APMT_16sectores!B87</f>
        <v>SW</v>
      </c>
      <c r="B88" s="17">
        <f>0.5*(TablaOcurrencia_APMT_16sectores!C87+TablaOcurrencia_APMT_16sectores!D87)</f>
        <v>236.25</v>
      </c>
      <c r="C88" s="17">
        <f>0.5*(TablaOcurrencia_APMT_16sectores!E87+TablaOcurrencia_APMT_16sectores!F87)</f>
        <v>1.25</v>
      </c>
      <c r="D88" s="17">
        <f>0.5*(TablaOcurrencia_APMT_16sectores!G87+TablaOcurrencia_APMT_16sectores!H87)</f>
        <v>11</v>
      </c>
      <c r="E88" s="17">
        <f>TablaOcurrencia_APMT_16sectores!K87</f>
        <v>230.364161849711</v>
      </c>
      <c r="F88" s="17">
        <f>TablaOcurrencia_APMT_16sectores!I87</f>
        <v>1.34568213872832</v>
      </c>
      <c r="G88" s="17">
        <f>TablaOcurrencia_APMT_16sectores!J87</f>
        <v>11.559064295427699</v>
      </c>
      <c r="H88" s="18">
        <f>TablaOcurrencia_APMT_16sectores!M87</f>
        <v>8.6450939092065258E-4</v>
      </c>
      <c r="I88" s="19">
        <f>TablaOcurrencia_APMT_16sectores!N87</f>
        <v>0.31554592768603817</v>
      </c>
    </row>
    <row r="89" spans="1:9" ht="15.6" x14ac:dyDescent="0.3">
      <c r="A89" s="16" t="str">
        <f>TablaOcurrencia_APMT_16sectores!B88</f>
        <v>S</v>
      </c>
      <c r="B89" s="17">
        <f>0.5*(TablaOcurrencia_APMT_16sectores!C88+TablaOcurrencia_APMT_16sectores!D88)</f>
        <v>191.25</v>
      </c>
      <c r="C89" s="17">
        <f>0.5*(TablaOcurrencia_APMT_16sectores!E88+TablaOcurrencia_APMT_16sectores!F88)</f>
        <v>1.25</v>
      </c>
      <c r="D89" s="17">
        <f>0.5*(TablaOcurrencia_APMT_16sectores!G88+TablaOcurrencia_APMT_16sectores!H88)</f>
        <v>9</v>
      </c>
      <c r="E89" s="17">
        <f>TablaOcurrencia_APMT_16sectores!K88</f>
        <v>192.267857142857</v>
      </c>
      <c r="F89" s="17">
        <f>TablaOcurrencia_APMT_16sectores!I88</f>
        <v>1.36574409761904</v>
      </c>
      <c r="G89" s="17">
        <f>TablaOcurrencia_APMT_16sectores!J88</f>
        <v>9.5483001964160596</v>
      </c>
      <c r="H89" s="18">
        <f>TablaOcurrencia_APMT_16sectores!M88</f>
        <v>8.3952357037381286E-4</v>
      </c>
      <c r="I89" s="19">
        <f>TablaOcurrencia_APMT_16sectores!N88</f>
        <v>0.3064261031864417</v>
      </c>
    </row>
    <row r="90" spans="1:9" ht="15.6" x14ac:dyDescent="0.3">
      <c r="A90" s="16" t="str">
        <f>TablaOcurrencia_APMT_16sectores!B89</f>
        <v>S</v>
      </c>
      <c r="B90" s="17">
        <f>0.5*(TablaOcurrencia_APMT_16sectores!C89+TablaOcurrencia_APMT_16sectores!D89)</f>
        <v>191.25</v>
      </c>
      <c r="C90" s="17">
        <f>0.5*(TablaOcurrencia_APMT_16sectores!E89+TablaOcurrencia_APMT_16sectores!F89)</f>
        <v>2.25</v>
      </c>
      <c r="D90" s="17">
        <f>0.5*(TablaOcurrencia_APMT_16sectores!G89+TablaOcurrencia_APMT_16sectores!H89)</f>
        <v>7</v>
      </c>
      <c r="E90" s="17">
        <f>TablaOcurrencia_APMT_16sectores!K89</f>
        <v>183.46268656716401</v>
      </c>
      <c r="F90" s="17">
        <f>TablaOcurrencia_APMT_16sectores!I89</f>
        <v>2.2238329080597001</v>
      </c>
      <c r="G90" s="17">
        <f>TablaOcurrencia_APMT_16sectores!J89</f>
        <v>7.7614474292264699</v>
      </c>
      <c r="H90" s="18">
        <f>TablaOcurrencia_APMT_16sectores!M89</f>
        <v>8.3702498831912892E-4</v>
      </c>
      <c r="I90" s="19">
        <f>TablaOcurrencia_APMT_16sectores!N89</f>
        <v>0.30551412073648204</v>
      </c>
    </row>
    <row r="91" spans="1:9" ht="15.6" x14ac:dyDescent="0.3">
      <c r="A91" s="16" t="str">
        <f>TablaOcurrencia_APMT_16sectores!B90</f>
        <v>S</v>
      </c>
      <c r="B91" s="17">
        <f>0.5*(TablaOcurrencia_APMT_16sectores!C90+TablaOcurrencia_APMT_16sectores!D90)</f>
        <v>191.25</v>
      </c>
      <c r="C91" s="17">
        <f>0.5*(TablaOcurrencia_APMT_16sectores!E90+TablaOcurrencia_APMT_16sectores!F90)</f>
        <v>2.25</v>
      </c>
      <c r="D91" s="17">
        <f>0.5*(TablaOcurrencia_APMT_16sectores!G90+TablaOcurrencia_APMT_16sectores!H90)</f>
        <v>19</v>
      </c>
      <c r="E91" s="17">
        <f>TablaOcurrencia_APMT_16sectores!K90</f>
        <v>197.57668711656399</v>
      </c>
      <c r="F91" s="17">
        <f>TablaOcurrencia_APMT_16sectores!I90</f>
        <v>2.2530123420245398</v>
      </c>
      <c r="G91" s="17">
        <f>TablaOcurrencia_APMT_16sectores!J90</f>
        <v>19.1275723542809</v>
      </c>
      <c r="H91" s="18">
        <f>TablaOcurrencia_APMT_16sectores!M90</f>
        <v>8.1453774982697324E-4</v>
      </c>
      <c r="I91" s="19">
        <f>TablaOcurrencia_APMT_16sectores!N90</f>
        <v>0.29730627868684523</v>
      </c>
    </row>
    <row r="92" spans="1:9" ht="15.6" x14ac:dyDescent="0.3">
      <c r="A92" s="16" t="str">
        <f>TablaOcurrencia_APMT_16sectores!B91</f>
        <v>SW</v>
      </c>
      <c r="B92" s="17">
        <f>0.5*(TablaOcurrencia_APMT_16sectores!C91+TablaOcurrencia_APMT_16sectores!D91)</f>
        <v>236.25</v>
      </c>
      <c r="C92" s="17">
        <f>0.5*(TablaOcurrencia_APMT_16sectores!E91+TablaOcurrencia_APMT_16sectores!F91)</f>
        <v>1.25</v>
      </c>
      <c r="D92" s="17">
        <f>0.5*(TablaOcurrencia_APMT_16sectores!G91+TablaOcurrencia_APMT_16sectores!H91)</f>
        <v>17</v>
      </c>
      <c r="E92" s="17">
        <f>TablaOcurrencia_APMT_16sectores!K91</f>
        <v>232.89274447949501</v>
      </c>
      <c r="F92" s="17">
        <f>TablaOcurrencia_APMT_16sectores!I91</f>
        <v>1.39213885520504</v>
      </c>
      <c r="G92" s="17">
        <f>TablaOcurrencia_APMT_16sectores!J91</f>
        <v>16.800767269452201</v>
      </c>
      <c r="H92" s="18">
        <f>TablaOcurrencia_APMT_16sectores!M91</f>
        <v>7.9205051133481746E-4</v>
      </c>
      <c r="I92" s="19">
        <f>TablaOcurrencia_APMT_16sectores!N91</f>
        <v>0.28909843663720841</v>
      </c>
    </row>
    <row r="93" spans="1:9" ht="15.6" x14ac:dyDescent="0.3">
      <c r="A93" s="16" t="str">
        <f>TablaOcurrencia_APMT_16sectores!B92</f>
        <v>SSW</v>
      </c>
      <c r="B93" s="17">
        <f>0.5*(TablaOcurrencia_APMT_16sectores!C92+TablaOcurrencia_APMT_16sectores!D92)</f>
        <v>213.75</v>
      </c>
      <c r="C93" s="17">
        <f>0.5*(TablaOcurrencia_APMT_16sectores!E92+TablaOcurrencia_APMT_16sectores!F92)</f>
        <v>2.75</v>
      </c>
      <c r="D93" s="17">
        <f>0.5*(TablaOcurrencia_APMT_16sectores!G92+TablaOcurrencia_APMT_16sectores!H92)</f>
        <v>21</v>
      </c>
      <c r="E93" s="17">
        <f>TablaOcurrencia_APMT_16sectores!K92</f>
        <v>215.44224422442201</v>
      </c>
      <c r="F93" s="17">
        <f>TablaOcurrencia_APMT_16sectores!I92</f>
        <v>2.7002509250825</v>
      </c>
      <c r="G93" s="17">
        <f>TablaOcurrencia_APMT_16sectores!J92</f>
        <v>21.0575670011124</v>
      </c>
      <c r="H93" s="18">
        <f>TablaOcurrencia_APMT_16sectores!M92</f>
        <v>7.5707036256924198E-4</v>
      </c>
      <c r="I93" s="19">
        <f>TablaOcurrencia_APMT_16sectores!N92</f>
        <v>0.2763306823377733</v>
      </c>
    </row>
    <row r="94" spans="1:9" ht="15.6" x14ac:dyDescent="0.3">
      <c r="A94" s="16" t="str">
        <f>TablaOcurrencia_APMT_16sectores!B93</f>
        <v>SSE</v>
      </c>
      <c r="B94" s="17">
        <f>0.5*(TablaOcurrencia_APMT_16sectores!C93+TablaOcurrencia_APMT_16sectores!D93)</f>
        <v>168.75</v>
      </c>
      <c r="C94" s="17">
        <f>0.5*(TablaOcurrencia_APMT_16sectores!E93+TablaOcurrencia_APMT_16sectores!F93)</f>
        <v>2.75</v>
      </c>
      <c r="D94" s="17">
        <f>0.5*(TablaOcurrencia_APMT_16sectores!G93+TablaOcurrencia_APMT_16sectores!H93)</f>
        <v>7</v>
      </c>
      <c r="E94" s="17">
        <f>TablaOcurrencia_APMT_16sectores!K93</f>
        <v>176.417218543046</v>
      </c>
      <c r="F94" s="17">
        <f>TablaOcurrencia_APMT_16sectores!I93</f>
        <v>2.7057616725165499</v>
      </c>
      <c r="G94" s="17">
        <f>TablaOcurrencia_APMT_16sectores!J93</f>
        <v>7.6739804079190996</v>
      </c>
      <c r="H94" s="18">
        <f>TablaOcurrencia_APMT_16sectores!M93</f>
        <v>7.5457178051455804E-4</v>
      </c>
      <c r="I94" s="19">
        <f>TablaOcurrencia_APMT_16sectores!N93</f>
        <v>0.27541869988781364</v>
      </c>
    </row>
    <row r="95" spans="1:9" ht="15.6" x14ac:dyDescent="0.3">
      <c r="A95" s="16" t="str">
        <f>TablaOcurrencia_APMT_16sectores!B94</f>
        <v>S</v>
      </c>
      <c r="B95" s="17">
        <f>0.5*(TablaOcurrencia_APMT_16sectores!C94+TablaOcurrencia_APMT_16sectores!D94)</f>
        <v>191.25</v>
      </c>
      <c r="C95" s="17">
        <f>0.5*(TablaOcurrencia_APMT_16sectores!E94+TablaOcurrencia_APMT_16sectores!F94)</f>
        <v>3.75</v>
      </c>
      <c r="D95" s="17">
        <f>0.5*(TablaOcurrencia_APMT_16sectores!G94+TablaOcurrencia_APMT_16sectores!H94)</f>
        <v>17</v>
      </c>
      <c r="E95" s="17">
        <f>TablaOcurrencia_APMT_16sectores!K94</f>
        <v>199.66551724137901</v>
      </c>
      <c r="F95" s="17">
        <f>TablaOcurrencia_APMT_16sectores!I94</f>
        <v>3.7036001627586201</v>
      </c>
      <c r="G95" s="17">
        <f>TablaOcurrencia_APMT_16sectores!J94</f>
        <v>17.068577699664001</v>
      </c>
      <c r="H95" s="18">
        <f>TablaOcurrencia_APMT_16sectores!M94</f>
        <v>7.2458879585835044E-4</v>
      </c>
      <c r="I95" s="19">
        <f>TablaOcurrencia_APMT_16sectores!N94</f>
        <v>0.26447491048829791</v>
      </c>
    </row>
    <row r="96" spans="1:9" ht="15.6" x14ac:dyDescent="0.3">
      <c r="A96" s="16" t="str">
        <f>TablaOcurrencia_APMT_16sectores!B95</f>
        <v>SW</v>
      </c>
      <c r="B96" s="17">
        <f>0.5*(TablaOcurrencia_APMT_16sectores!C95+TablaOcurrencia_APMT_16sectores!D95)</f>
        <v>236.25</v>
      </c>
      <c r="C96" s="17">
        <f>0.5*(TablaOcurrencia_APMT_16sectores!E95+TablaOcurrencia_APMT_16sectores!F95)</f>
        <v>1.75</v>
      </c>
      <c r="D96" s="17">
        <f>0.5*(TablaOcurrencia_APMT_16sectores!G95+TablaOcurrencia_APMT_16sectores!H95)</f>
        <v>19</v>
      </c>
      <c r="E96" s="17">
        <f>TablaOcurrencia_APMT_16sectores!K95</f>
        <v>231.702422145328</v>
      </c>
      <c r="F96" s="17">
        <f>TablaOcurrencia_APMT_16sectores!I95</f>
        <v>1.7972941903114099</v>
      </c>
      <c r="G96" s="17">
        <f>TablaOcurrencia_APMT_16sectores!J95</f>
        <v>19.0666260784202</v>
      </c>
      <c r="H96" s="18">
        <f>TablaOcurrencia_APMT_16sectores!M95</f>
        <v>7.2209021380366639E-4</v>
      </c>
      <c r="I96" s="19">
        <f>TablaOcurrencia_APMT_16sectores!N95</f>
        <v>0.26356292803833825</v>
      </c>
    </row>
    <row r="97" spans="1:9" ht="15.6" x14ac:dyDescent="0.3">
      <c r="A97" s="16" t="str">
        <f>TablaOcurrencia_APMT_16sectores!B96</f>
        <v>WNW</v>
      </c>
      <c r="B97" s="17">
        <f>0.5*(TablaOcurrencia_APMT_16sectores!C96+TablaOcurrencia_APMT_16sectores!D96)</f>
        <v>303.75</v>
      </c>
      <c r="C97" s="17">
        <f>0.5*(TablaOcurrencia_APMT_16sectores!E96+TablaOcurrencia_APMT_16sectores!F96)</f>
        <v>1.25</v>
      </c>
      <c r="D97" s="17">
        <f>0.5*(TablaOcurrencia_APMT_16sectores!G96+TablaOcurrencia_APMT_16sectores!H96)</f>
        <v>19</v>
      </c>
      <c r="E97" s="17">
        <f>TablaOcurrencia_APMT_16sectores!K96</f>
        <v>302.02661596958097</v>
      </c>
      <c r="F97" s="17">
        <f>TablaOcurrencia_APMT_16sectores!I96</f>
        <v>1.4173916942965701</v>
      </c>
      <c r="G97" s="17">
        <f>TablaOcurrencia_APMT_16sectores!J96</f>
        <v>19.283484345088201</v>
      </c>
      <c r="H97" s="18">
        <f>TablaOcurrencia_APMT_16sectores!M96</f>
        <v>6.571270803818833E-4</v>
      </c>
      <c r="I97" s="19">
        <f>TablaOcurrencia_APMT_16sectores!N96</f>
        <v>0.23985138433938741</v>
      </c>
    </row>
    <row r="98" spans="1:9" ht="15.6" x14ac:dyDescent="0.3">
      <c r="A98" s="16" t="str">
        <f>TablaOcurrencia_APMT_16sectores!B97</f>
        <v>S</v>
      </c>
      <c r="B98" s="17">
        <f>0.5*(TablaOcurrencia_APMT_16sectores!C97+TablaOcurrencia_APMT_16sectores!D97)</f>
        <v>191.25</v>
      </c>
      <c r="C98" s="17">
        <f>0.5*(TablaOcurrencia_APMT_16sectores!E97+TablaOcurrencia_APMT_16sectores!F97)</f>
        <v>3.25</v>
      </c>
      <c r="D98" s="17">
        <f>0.5*(TablaOcurrencia_APMT_16sectores!G97+TablaOcurrencia_APMT_16sectores!H97)</f>
        <v>19</v>
      </c>
      <c r="E98" s="17">
        <f>TablaOcurrencia_APMT_16sectores!K97</f>
        <v>199.06976744185999</v>
      </c>
      <c r="F98" s="17">
        <f>TablaOcurrencia_APMT_16sectores!I97</f>
        <v>3.2261551701550299</v>
      </c>
      <c r="G98" s="17">
        <f>TablaOcurrencia_APMT_16sectores!J97</f>
        <v>19.020958356091398</v>
      </c>
      <c r="H98" s="18">
        <f>TablaOcurrencia_APMT_16sectores!M97</f>
        <v>6.446341701084635E-4</v>
      </c>
      <c r="I98" s="19">
        <f>TablaOcurrencia_APMT_16sectores!N97</f>
        <v>0.23529147208958917</v>
      </c>
    </row>
    <row r="99" spans="1:9" ht="15.6" x14ac:dyDescent="0.3">
      <c r="A99" s="16" t="str">
        <f>TablaOcurrencia_APMT_16sectores!B98</f>
        <v>SSW</v>
      </c>
      <c r="B99" s="17">
        <f>0.5*(TablaOcurrencia_APMT_16sectores!C98+TablaOcurrencia_APMT_16sectores!D98)</f>
        <v>213.75</v>
      </c>
      <c r="C99" s="17">
        <f>0.5*(TablaOcurrencia_APMT_16sectores!E98+TablaOcurrencia_APMT_16sectores!F98)</f>
        <v>4.25</v>
      </c>
      <c r="D99" s="17">
        <f>0.5*(TablaOcurrencia_APMT_16sectores!G98+TablaOcurrencia_APMT_16sectores!H98)</f>
        <v>17</v>
      </c>
      <c r="E99" s="17">
        <f>TablaOcurrencia_APMT_16sectores!K98</f>
        <v>207.65882352941099</v>
      </c>
      <c r="F99" s="17">
        <f>TablaOcurrencia_APMT_16sectores!I98</f>
        <v>4.1429256662745004</v>
      </c>
      <c r="G99" s="17">
        <f>TablaOcurrencia_APMT_16sectores!J98</f>
        <v>17.2036623735275</v>
      </c>
      <c r="H99" s="18">
        <f>TablaOcurrencia_APMT_16sectores!M98</f>
        <v>6.3713842394441157E-4</v>
      </c>
      <c r="I99" s="19">
        <f>TablaOcurrencia_APMT_16sectores!N98</f>
        <v>0.23255552473971022</v>
      </c>
    </row>
    <row r="100" spans="1:9" ht="15.6" x14ac:dyDescent="0.3">
      <c r="A100" s="16" t="str">
        <f>TablaOcurrencia_APMT_16sectores!B99</f>
        <v>SSE</v>
      </c>
      <c r="B100" s="17">
        <f>0.5*(TablaOcurrencia_APMT_16sectores!C99+TablaOcurrencia_APMT_16sectores!D99)</f>
        <v>168.75</v>
      </c>
      <c r="C100" s="17">
        <f>0.5*(TablaOcurrencia_APMT_16sectores!E99+TablaOcurrencia_APMT_16sectores!F99)</f>
        <v>1.75</v>
      </c>
      <c r="D100" s="17">
        <f>0.5*(TablaOcurrencia_APMT_16sectores!G99+TablaOcurrencia_APMT_16sectores!H99)</f>
        <v>7</v>
      </c>
      <c r="E100" s="17">
        <f>TablaOcurrencia_APMT_16sectores!K99</f>
        <v>176.763779527559</v>
      </c>
      <c r="F100" s="17">
        <f>TablaOcurrencia_APMT_16sectores!I99</f>
        <v>1.85984259921259</v>
      </c>
      <c r="G100" s="17">
        <f>TablaOcurrencia_APMT_16sectores!J99</f>
        <v>7.2262613654526104</v>
      </c>
      <c r="H100" s="18">
        <f>TablaOcurrencia_APMT_16sectores!M99</f>
        <v>6.3463984188972763E-4</v>
      </c>
      <c r="I100" s="19">
        <f>TablaOcurrencia_APMT_16sectores!N99</f>
        <v>0.23164354228975056</v>
      </c>
    </row>
    <row r="101" spans="1:9" ht="15.6" x14ac:dyDescent="0.3">
      <c r="A101" s="16" t="str">
        <f>TablaOcurrencia_APMT_16sectores!B100</f>
        <v>S</v>
      </c>
      <c r="B101" s="17">
        <f>0.5*(TablaOcurrencia_APMT_16sectores!C100+TablaOcurrencia_APMT_16sectores!D100)</f>
        <v>191.25</v>
      </c>
      <c r="C101" s="17">
        <f>0.5*(TablaOcurrencia_APMT_16sectores!E100+TablaOcurrencia_APMT_16sectores!F100)</f>
        <v>1.75</v>
      </c>
      <c r="D101" s="17">
        <f>0.5*(TablaOcurrencia_APMT_16sectores!G100+TablaOcurrencia_APMT_16sectores!H100)</f>
        <v>7</v>
      </c>
      <c r="E101" s="17">
        <f>TablaOcurrencia_APMT_16sectores!K100</f>
        <v>184.189516129032</v>
      </c>
      <c r="F101" s="17">
        <f>TablaOcurrencia_APMT_16sectores!I100</f>
        <v>1.8047903999999999</v>
      </c>
      <c r="G101" s="17">
        <f>TablaOcurrencia_APMT_16sectores!J100</f>
        <v>7.5314346567953701</v>
      </c>
      <c r="H101" s="18">
        <f>TablaOcurrencia_APMT_16sectores!M100</f>
        <v>6.1964834956162377E-4</v>
      </c>
      <c r="I101" s="19">
        <f>TablaOcurrencia_APMT_16sectores!N100</f>
        <v>0.22617164758999267</v>
      </c>
    </row>
    <row r="102" spans="1:9" ht="15.6" x14ac:dyDescent="0.3">
      <c r="A102" s="16" t="str">
        <f>TablaOcurrencia_APMT_16sectores!B101</f>
        <v>W</v>
      </c>
      <c r="B102" s="17">
        <f>0.5*(TablaOcurrencia_APMT_16sectores!C101+TablaOcurrencia_APMT_16sectores!D101)</f>
        <v>281.25</v>
      </c>
      <c r="C102" s="17">
        <f>0.5*(TablaOcurrencia_APMT_16sectores!E101+TablaOcurrencia_APMT_16sectores!F101)</f>
        <v>2.25</v>
      </c>
      <c r="D102" s="17">
        <f>0.5*(TablaOcurrencia_APMT_16sectores!G101+TablaOcurrencia_APMT_16sectores!H101)</f>
        <v>15</v>
      </c>
      <c r="E102" s="17">
        <f>TablaOcurrencia_APMT_16sectores!K101</f>
        <v>280.480686695278</v>
      </c>
      <c r="F102" s="17">
        <f>TablaOcurrencia_APMT_16sectores!I101</f>
        <v>2.1106009278969902</v>
      </c>
      <c r="G102" s="17">
        <f>TablaOcurrencia_APMT_16sectores!J101</f>
        <v>15.680834489966699</v>
      </c>
      <c r="H102" s="18">
        <f>TablaOcurrencia_APMT_16sectores!M101</f>
        <v>5.8216961874136424E-4</v>
      </c>
      <c r="I102" s="19">
        <f>TablaOcurrencia_APMT_16sectores!N101</f>
        <v>0.21249191084059796</v>
      </c>
    </row>
    <row r="103" spans="1:9" ht="15.6" x14ac:dyDescent="0.3">
      <c r="A103" s="16" t="str">
        <f>TablaOcurrencia_APMT_16sectores!B102</f>
        <v>WSW</v>
      </c>
      <c r="B103" s="17">
        <f>0.5*(TablaOcurrencia_APMT_16sectores!C102+TablaOcurrencia_APMT_16sectores!D102)</f>
        <v>258.75</v>
      </c>
      <c r="C103" s="17">
        <f>0.5*(TablaOcurrencia_APMT_16sectores!E102+TablaOcurrencia_APMT_16sectores!F102)</f>
        <v>1.25</v>
      </c>
      <c r="D103" s="17">
        <f>0.5*(TablaOcurrencia_APMT_16sectores!G102+TablaOcurrencia_APMT_16sectores!H102)</f>
        <v>13</v>
      </c>
      <c r="E103" s="17">
        <f>TablaOcurrencia_APMT_16sectores!K102</f>
        <v>256.61572052401698</v>
      </c>
      <c r="F103" s="17">
        <f>TablaOcurrencia_APMT_16sectores!I102</f>
        <v>1.31699568646288</v>
      </c>
      <c r="G103" s="17">
        <f>TablaOcurrencia_APMT_16sectores!J102</f>
        <v>13.182241124308799</v>
      </c>
      <c r="H103" s="18">
        <f>TablaOcurrencia_APMT_16sectores!M102</f>
        <v>5.7217529052262838E-4</v>
      </c>
      <c r="I103" s="19">
        <f>TablaOcurrencia_APMT_16sectores!N102</f>
        <v>0.20884398104075938</v>
      </c>
    </row>
    <row r="104" spans="1:9" ht="15.6" x14ac:dyDescent="0.3">
      <c r="A104" s="16" t="str">
        <f>TablaOcurrencia_APMT_16sectores!B103</f>
        <v>WNW</v>
      </c>
      <c r="B104" s="17">
        <f>0.5*(TablaOcurrencia_APMT_16sectores!C103+TablaOcurrencia_APMT_16sectores!D103)</f>
        <v>303.75</v>
      </c>
      <c r="C104" s="17">
        <f>0.5*(TablaOcurrencia_APMT_16sectores!E103+TablaOcurrencia_APMT_16sectores!F103)</f>
        <v>2.25</v>
      </c>
      <c r="D104" s="17">
        <f>0.5*(TablaOcurrencia_APMT_16sectores!G103+TablaOcurrencia_APMT_16sectores!H103)</f>
        <v>21</v>
      </c>
      <c r="E104" s="17">
        <f>TablaOcurrencia_APMT_16sectores!K103</f>
        <v>302.83771929824502</v>
      </c>
      <c r="F104" s="17">
        <f>TablaOcurrencia_APMT_16sectores!I103</f>
        <v>2.1186053381578902</v>
      </c>
      <c r="G104" s="17">
        <f>TablaOcurrencia_APMT_16sectores!J103</f>
        <v>21.258638703815201</v>
      </c>
      <c r="H104" s="18">
        <f>TablaOcurrencia_APMT_16sectores!M103</f>
        <v>5.6967670846794444E-4</v>
      </c>
      <c r="I104" s="19">
        <f>TablaOcurrencia_APMT_16sectores!N103</f>
        <v>0.20793199859079972</v>
      </c>
    </row>
    <row r="105" spans="1:9" ht="15.6" x14ac:dyDescent="0.3">
      <c r="A105" s="16" t="str">
        <f>TablaOcurrencia_APMT_16sectores!B104</f>
        <v>W</v>
      </c>
      <c r="B105" s="17">
        <f>0.5*(TablaOcurrencia_APMT_16sectores!C104+TablaOcurrencia_APMT_16sectores!D104)</f>
        <v>281.25</v>
      </c>
      <c r="C105" s="17">
        <f>0.5*(TablaOcurrencia_APMT_16sectores!E104+TablaOcurrencia_APMT_16sectores!F104)</f>
        <v>1.25</v>
      </c>
      <c r="D105" s="17">
        <f>0.5*(TablaOcurrencia_APMT_16sectores!G104+TablaOcurrencia_APMT_16sectores!H104)</f>
        <v>17</v>
      </c>
      <c r="E105" s="17">
        <f>TablaOcurrencia_APMT_16sectores!K104</f>
        <v>284.07305936072999</v>
      </c>
      <c r="F105" s="17">
        <f>TablaOcurrencia_APMT_16sectores!I104</f>
        <v>1.38425576438356</v>
      </c>
      <c r="G105" s="17">
        <f>TablaOcurrencia_APMT_16sectores!J104</f>
        <v>16.597142599086698</v>
      </c>
      <c r="H105" s="18">
        <f>TablaOcurrencia_APMT_16sectores!M104</f>
        <v>5.4718946997578876E-4</v>
      </c>
      <c r="I105" s="19">
        <f>TablaOcurrencia_APMT_16sectores!N104</f>
        <v>0.19972415654116288</v>
      </c>
    </row>
    <row r="106" spans="1:9" ht="15.6" x14ac:dyDescent="0.3">
      <c r="A106" s="16" t="str">
        <f>TablaOcurrencia_APMT_16sectores!B105</f>
        <v>WSW</v>
      </c>
      <c r="B106" s="17">
        <f>0.5*(TablaOcurrencia_APMT_16sectores!C105+TablaOcurrencia_APMT_16sectores!D105)</f>
        <v>258.75</v>
      </c>
      <c r="C106" s="17">
        <f>0.5*(TablaOcurrencia_APMT_16sectores!E105+TablaOcurrencia_APMT_16sectores!F105)</f>
        <v>1.75</v>
      </c>
      <c r="D106" s="17">
        <f>0.5*(TablaOcurrencia_APMT_16sectores!G105+TablaOcurrencia_APMT_16sectores!H105)</f>
        <v>13</v>
      </c>
      <c r="E106" s="17">
        <f>TablaOcurrencia_APMT_16sectores!K105</f>
        <v>254.685990338164</v>
      </c>
      <c r="F106" s="17">
        <f>TablaOcurrencia_APMT_16sectores!I105</f>
        <v>1.68573919033816</v>
      </c>
      <c r="G106" s="17">
        <f>TablaOcurrencia_APMT_16sectores!J105</f>
        <v>13.4046816999971</v>
      </c>
      <c r="H106" s="18">
        <f>TablaOcurrencia_APMT_16sectores!M105</f>
        <v>5.1720648531958116E-4</v>
      </c>
      <c r="I106" s="19">
        <f>TablaOcurrencia_APMT_16sectores!N105</f>
        <v>0.18878036714164712</v>
      </c>
    </row>
    <row r="107" spans="1:9" ht="15.6" x14ac:dyDescent="0.3">
      <c r="A107" s="16" t="str">
        <f>TablaOcurrencia_APMT_16sectores!B106</f>
        <v>SSE</v>
      </c>
      <c r="B107" s="17">
        <f>0.5*(TablaOcurrencia_APMT_16sectores!C106+TablaOcurrencia_APMT_16sectores!D106)</f>
        <v>168.75</v>
      </c>
      <c r="C107" s="17">
        <f>0.5*(TablaOcurrencia_APMT_16sectores!E106+TablaOcurrencia_APMT_16sectores!F106)</f>
        <v>3.75</v>
      </c>
      <c r="D107" s="17">
        <f>0.5*(TablaOcurrencia_APMT_16sectores!G106+TablaOcurrencia_APMT_16sectores!H106)</f>
        <v>9</v>
      </c>
      <c r="E107" s="17">
        <f>TablaOcurrencia_APMT_16sectores!K106</f>
        <v>177.53960396039599</v>
      </c>
      <c r="F107" s="17">
        <f>TablaOcurrencia_APMT_16sectores!I106</f>
        <v>3.6470100633663298</v>
      </c>
      <c r="G107" s="17">
        <f>TablaOcurrencia_APMT_16sectores!J106</f>
        <v>9.2365299053022092</v>
      </c>
      <c r="H107" s="18">
        <f>TablaOcurrencia_APMT_16sectores!M106</f>
        <v>5.0471357504616135E-4</v>
      </c>
      <c r="I107" s="19">
        <f>TablaOcurrencia_APMT_16sectores!N106</f>
        <v>0.18422045489184888</v>
      </c>
    </row>
    <row r="108" spans="1:9" ht="15.6" x14ac:dyDescent="0.3">
      <c r="A108" s="16" t="str">
        <f>TablaOcurrencia_APMT_16sectores!B107</f>
        <v>S</v>
      </c>
      <c r="B108" s="17">
        <f>0.5*(TablaOcurrencia_APMT_16sectores!C107+TablaOcurrencia_APMT_16sectores!D107)</f>
        <v>191.25</v>
      </c>
      <c r="C108" s="17">
        <f>0.5*(TablaOcurrencia_APMT_16sectores!E107+TablaOcurrencia_APMT_16sectores!F107)</f>
        <v>1.75</v>
      </c>
      <c r="D108" s="17">
        <f>0.5*(TablaOcurrencia_APMT_16sectores!G107+TablaOcurrencia_APMT_16sectores!H107)</f>
        <v>19</v>
      </c>
      <c r="E108" s="17">
        <f>TablaOcurrencia_APMT_16sectores!K107</f>
        <v>194.75773195876201</v>
      </c>
      <c r="F108" s="17">
        <f>TablaOcurrencia_APMT_16sectores!I107</f>
        <v>1.79616502164948</v>
      </c>
      <c r="G108" s="17">
        <f>TablaOcurrencia_APMT_16sectores!J107</f>
        <v>19.069895289311599</v>
      </c>
      <c r="H108" s="18">
        <f>TablaOcurrencia_APMT_16sectores!M107</f>
        <v>4.8472491860868957E-4</v>
      </c>
      <c r="I108" s="19">
        <f>TablaOcurrencia_APMT_16sectores!N107</f>
        <v>0.17692459529217169</v>
      </c>
    </row>
    <row r="109" spans="1:9" ht="15.6" x14ac:dyDescent="0.3">
      <c r="A109" s="16" t="str">
        <f>TablaOcurrencia_APMT_16sectores!B108</f>
        <v>S</v>
      </c>
      <c r="B109" s="17">
        <f>0.5*(TablaOcurrencia_APMT_16sectores!C108+TablaOcurrencia_APMT_16sectores!D108)</f>
        <v>191.25</v>
      </c>
      <c r="C109" s="17">
        <f>0.5*(TablaOcurrencia_APMT_16sectores!E108+TablaOcurrencia_APMT_16sectores!F108)</f>
        <v>3.75</v>
      </c>
      <c r="D109" s="17">
        <f>0.5*(TablaOcurrencia_APMT_16sectores!G108+TablaOcurrencia_APMT_16sectores!H108)</f>
        <v>9</v>
      </c>
      <c r="E109" s="17">
        <f>TablaOcurrencia_APMT_16sectores!K108</f>
        <v>183.252577319587</v>
      </c>
      <c r="F109" s="17">
        <f>TablaOcurrencia_APMT_16sectores!I108</f>
        <v>3.6987733515463899</v>
      </c>
      <c r="G109" s="17">
        <f>TablaOcurrencia_APMT_16sectores!J108</f>
        <v>9.6003734308148907</v>
      </c>
      <c r="H109" s="18">
        <f>TablaOcurrencia_APMT_16sectores!M108</f>
        <v>4.8472491860868957E-4</v>
      </c>
      <c r="I109" s="19">
        <f>TablaOcurrencia_APMT_16sectores!N108</f>
        <v>0.17692459529217169</v>
      </c>
    </row>
    <row r="110" spans="1:9" ht="15.6" x14ac:dyDescent="0.3">
      <c r="A110" s="16" t="str">
        <f>TablaOcurrencia_APMT_16sectores!B109</f>
        <v>S</v>
      </c>
      <c r="B110" s="17">
        <f>0.5*(TablaOcurrencia_APMT_16sectores!C109+TablaOcurrencia_APMT_16sectores!D109)</f>
        <v>191.25</v>
      </c>
      <c r="C110" s="17">
        <f>0.5*(TablaOcurrencia_APMT_16sectores!E109+TablaOcurrencia_APMT_16sectores!F109)</f>
        <v>3.75</v>
      </c>
      <c r="D110" s="17">
        <f>0.5*(TablaOcurrencia_APMT_16sectores!G109+TablaOcurrencia_APMT_16sectores!H109)</f>
        <v>11</v>
      </c>
      <c r="E110" s="17">
        <f>TablaOcurrencia_APMT_16sectores!K109</f>
        <v>184.91764705882301</v>
      </c>
      <c r="F110" s="17">
        <f>TablaOcurrencia_APMT_16sectores!I109</f>
        <v>3.6989060376470499</v>
      </c>
      <c r="G110" s="17">
        <f>TablaOcurrencia_APMT_16sectores!J109</f>
        <v>10.495932751456699</v>
      </c>
      <c r="H110" s="18">
        <f>TablaOcurrencia_APMT_16sectores!M109</f>
        <v>4.2475894929627436E-4</v>
      </c>
      <c r="I110" s="19">
        <f>TablaOcurrencia_APMT_16sectores!N109</f>
        <v>0.15503701649314014</v>
      </c>
    </row>
    <row r="111" spans="1:9" ht="15.6" x14ac:dyDescent="0.3">
      <c r="A111" s="16" t="str">
        <f>TablaOcurrencia_APMT_16sectores!B110</f>
        <v>WNW</v>
      </c>
      <c r="B111" s="17">
        <f>0.5*(TablaOcurrencia_APMT_16sectores!C110+TablaOcurrencia_APMT_16sectores!D110)</f>
        <v>303.75</v>
      </c>
      <c r="C111" s="17">
        <f>0.5*(TablaOcurrencia_APMT_16sectores!E110+TablaOcurrencia_APMT_16sectores!F110)</f>
        <v>2.25</v>
      </c>
      <c r="D111" s="17">
        <f>0.5*(TablaOcurrencia_APMT_16sectores!G110+TablaOcurrencia_APMT_16sectores!H110)</f>
        <v>15</v>
      </c>
      <c r="E111" s="17">
        <f>TablaOcurrencia_APMT_16sectores!K110</f>
        <v>298.02702702702697</v>
      </c>
      <c r="F111" s="17">
        <f>TablaOcurrencia_APMT_16sectores!I110</f>
        <v>2.0795406168918902</v>
      </c>
      <c r="G111" s="17">
        <f>TablaOcurrencia_APMT_16sectores!J110</f>
        <v>15.7733450116044</v>
      </c>
      <c r="H111" s="18">
        <f>TablaOcurrencia_APMT_16sectores!M110</f>
        <v>3.6979014409322709E-4</v>
      </c>
      <c r="I111" s="19">
        <f>TablaOcurrencia_APMT_16sectores!N110</f>
        <v>0.1349734025940279</v>
      </c>
    </row>
    <row r="112" spans="1:9" ht="15.6" x14ac:dyDescent="0.3">
      <c r="A112" s="16" t="str">
        <f>TablaOcurrencia_APMT_16sectores!B111</f>
        <v>W</v>
      </c>
      <c r="B112" s="17">
        <f>0.5*(TablaOcurrencia_APMT_16sectores!C111+TablaOcurrencia_APMT_16sectores!D111)</f>
        <v>281.25</v>
      </c>
      <c r="C112" s="17">
        <f>0.5*(TablaOcurrencia_APMT_16sectores!E111+TablaOcurrencia_APMT_16sectores!F111)</f>
        <v>1.75</v>
      </c>
      <c r="D112" s="17">
        <f>0.5*(TablaOcurrencia_APMT_16sectores!G111+TablaOcurrencia_APMT_16sectores!H111)</f>
        <v>19</v>
      </c>
      <c r="E112" s="17">
        <f>TablaOcurrencia_APMT_16sectores!K111</f>
        <v>282.44029850746199</v>
      </c>
      <c r="F112" s="17">
        <f>TablaOcurrencia_APMT_16sectores!I111</f>
        <v>1.8159105186567099</v>
      </c>
      <c r="G112" s="17">
        <f>TablaOcurrencia_APMT_16sectores!J111</f>
        <v>19.221794791763902</v>
      </c>
      <c r="H112" s="18">
        <f>TablaOcurrencia_APMT_16sectores!M111</f>
        <v>3.3480999532765156E-4</v>
      </c>
      <c r="I112" s="19">
        <f>TablaOcurrencia_APMT_16sectores!N111</f>
        <v>0.12220564829459282</v>
      </c>
    </row>
    <row r="113" spans="1:9" ht="15.6" x14ac:dyDescent="0.3">
      <c r="A113" s="16" t="str">
        <f>TablaOcurrencia_APMT_16sectores!B112</f>
        <v>SSE</v>
      </c>
      <c r="B113" s="17">
        <f>0.5*(TablaOcurrencia_APMT_16sectores!C112+TablaOcurrencia_APMT_16sectores!D112)</f>
        <v>168.75</v>
      </c>
      <c r="C113" s="17">
        <f>0.5*(TablaOcurrencia_APMT_16sectores!E112+TablaOcurrencia_APMT_16sectores!F112)</f>
        <v>2.25</v>
      </c>
      <c r="D113" s="17">
        <f>0.5*(TablaOcurrencia_APMT_16sectores!G112+TablaOcurrencia_APMT_16sectores!H112)</f>
        <v>11</v>
      </c>
      <c r="E113" s="17">
        <f>TablaOcurrencia_APMT_16sectores!K112</f>
        <v>178.825757575757</v>
      </c>
      <c r="F113" s="17">
        <f>TablaOcurrencia_APMT_16sectores!I112</f>
        <v>2.2423637181818101</v>
      </c>
      <c r="G113" s="17">
        <f>TablaOcurrencia_APMT_16sectores!J112</f>
        <v>10.4512825740028</v>
      </c>
      <c r="H113" s="18">
        <f>TablaOcurrencia_APMT_16sectores!M112</f>
        <v>3.2981283121828362E-4</v>
      </c>
      <c r="I113" s="19">
        <f>TablaOcurrencia_APMT_16sectores!N112</f>
        <v>0.12038168339467352</v>
      </c>
    </row>
    <row r="114" spans="1:9" ht="15.6" x14ac:dyDescent="0.3">
      <c r="A114" s="16" t="str">
        <f>TablaOcurrencia_APMT_16sectores!B113</f>
        <v>SSE</v>
      </c>
      <c r="B114" s="17">
        <f>0.5*(TablaOcurrencia_APMT_16sectores!C113+TablaOcurrencia_APMT_16sectores!D113)</f>
        <v>168.75</v>
      </c>
      <c r="C114" s="17">
        <f>0.5*(TablaOcurrencia_APMT_16sectores!E113+TablaOcurrencia_APMT_16sectores!F113)</f>
        <v>1.25</v>
      </c>
      <c r="D114" s="17">
        <f>0.5*(TablaOcurrencia_APMT_16sectores!G113+TablaOcurrencia_APMT_16sectores!H113)</f>
        <v>15</v>
      </c>
      <c r="E114" s="17">
        <f>TablaOcurrencia_APMT_16sectores!K113</f>
        <v>174.23664122137399</v>
      </c>
      <c r="F114" s="17">
        <f>TablaOcurrencia_APMT_16sectores!I113</f>
        <v>1.2532824931297699</v>
      </c>
      <c r="G114" s="17">
        <f>TablaOcurrencia_APMT_16sectores!J113</f>
        <v>14.783824258012601</v>
      </c>
      <c r="H114" s="18">
        <f>TablaOcurrencia_APMT_16sectores!M113</f>
        <v>3.2731424916359968E-4</v>
      </c>
      <c r="I114" s="19">
        <f>TablaOcurrencia_APMT_16sectores!N113</f>
        <v>0.11946970094471387</v>
      </c>
    </row>
    <row r="115" spans="1:9" ht="15.6" x14ac:dyDescent="0.3">
      <c r="A115" s="16" t="str">
        <f>TablaOcurrencia_APMT_16sectores!B114</f>
        <v>S</v>
      </c>
      <c r="B115" s="17">
        <f>0.5*(TablaOcurrencia_APMT_16sectores!C114+TablaOcurrencia_APMT_16sectores!D114)</f>
        <v>191.25</v>
      </c>
      <c r="C115" s="17">
        <f>0.5*(TablaOcurrencia_APMT_16sectores!E114+TablaOcurrencia_APMT_16sectores!F114)</f>
        <v>1.25</v>
      </c>
      <c r="D115" s="17">
        <f>0.5*(TablaOcurrencia_APMT_16sectores!G114+TablaOcurrencia_APMT_16sectores!H114)</f>
        <v>15</v>
      </c>
      <c r="E115" s="17">
        <f>TablaOcurrencia_APMT_16sectores!K114</f>
        <v>195.86923076923</v>
      </c>
      <c r="F115" s="17">
        <f>TablaOcurrencia_APMT_16sectores!I114</f>
        <v>1.35703082923076</v>
      </c>
      <c r="G115" s="17">
        <f>TablaOcurrencia_APMT_16sectores!J114</f>
        <v>14.8672727885049</v>
      </c>
      <c r="H115" s="18">
        <f>TablaOcurrencia_APMT_16sectores!M114</f>
        <v>3.2481566710891569E-4</v>
      </c>
      <c r="I115" s="19">
        <f>TablaOcurrencia_APMT_16sectores!N114</f>
        <v>0.11855771849475423</v>
      </c>
    </row>
    <row r="116" spans="1:9" ht="15.6" x14ac:dyDescent="0.3">
      <c r="A116" s="16" t="str">
        <f>TablaOcurrencia_APMT_16sectores!B115</f>
        <v>SSW</v>
      </c>
      <c r="B116" s="17">
        <f>0.5*(TablaOcurrencia_APMT_16sectores!C115+TablaOcurrencia_APMT_16sectores!D115)</f>
        <v>213.75</v>
      </c>
      <c r="C116" s="17">
        <f>0.5*(TablaOcurrencia_APMT_16sectores!E115+TablaOcurrencia_APMT_16sectores!F115)</f>
        <v>3.25</v>
      </c>
      <c r="D116" s="17">
        <f>0.5*(TablaOcurrencia_APMT_16sectores!G115+TablaOcurrencia_APMT_16sectores!H115)</f>
        <v>21</v>
      </c>
      <c r="E116" s="17">
        <f>TablaOcurrencia_APMT_16sectores!K115</f>
        <v>212.40322580645099</v>
      </c>
      <c r="F116" s="17">
        <f>TablaOcurrencia_APMT_16sectores!I115</f>
        <v>3.2060646475806398</v>
      </c>
      <c r="G116" s="17">
        <f>TablaOcurrencia_APMT_16sectores!J115</f>
        <v>21.086701471527501</v>
      </c>
      <c r="H116" s="18">
        <f>TablaOcurrencia_APMT_16sectores!M115</f>
        <v>3.0982417478081189E-4</v>
      </c>
      <c r="I116" s="19">
        <f>TablaOcurrencia_APMT_16sectores!N115</f>
        <v>0.11308582379499633</v>
      </c>
    </row>
    <row r="117" spans="1:9" ht="15.6" x14ac:dyDescent="0.3">
      <c r="A117" s="16" t="str">
        <f>TablaOcurrencia_APMT_16sectores!B116</f>
        <v>SSW</v>
      </c>
      <c r="B117" s="17">
        <f>0.5*(TablaOcurrencia_APMT_16sectores!C116+TablaOcurrencia_APMT_16sectores!D116)</f>
        <v>213.75</v>
      </c>
      <c r="C117" s="17">
        <f>0.5*(TablaOcurrencia_APMT_16sectores!E116+TablaOcurrencia_APMT_16sectores!F116)</f>
        <v>2.75</v>
      </c>
      <c r="D117" s="17">
        <f>0.5*(TablaOcurrencia_APMT_16sectores!G116+TablaOcurrencia_APMT_16sectores!H116)</f>
        <v>11</v>
      </c>
      <c r="E117" s="17">
        <f>TablaOcurrencia_APMT_16sectores!K116</f>
        <v>208.82113821138199</v>
      </c>
      <c r="F117" s="17">
        <f>TablaOcurrencia_APMT_16sectores!I116</f>
        <v>2.64362611138211</v>
      </c>
      <c r="G117" s="17">
        <f>TablaOcurrencia_APMT_16sectores!J116</f>
        <v>11.7617996439251</v>
      </c>
      <c r="H117" s="18">
        <f>TablaOcurrencia_APMT_16sectores!M116</f>
        <v>3.0732559272612795E-4</v>
      </c>
      <c r="I117" s="19">
        <f>TablaOcurrencia_APMT_16sectores!N116</f>
        <v>0.11217384134503669</v>
      </c>
    </row>
    <row r="118" spans="1:9" ht="15.6" x14ac:dyDescent="0.3">
      <c r="A118" s="16" t="str">
        <f>TablaOcurrencia_APMT_16sectores!B117</f>
        <v>SSE</v>
      </c>
      <c r="B118" s="17">
        <f>0.5*(TablaOcurrencia_APMT_16sectores!C117+TablaOcurrencia_APMT_16sectores!D117)</f>
        <v>168.75</v>
      </c>
      <c r="C118" s="17">
        <f>0.5*(TablaOcurrencia_APMT_16sectores!E117+TablaOcurrencia_APMT_16sectores!F117)</f>
        <v>1.75</v>
      </c>
      <c r="D118" s="17">
        <f>0.5*(TablaOcurrencia_APMT_16sectores!G117+TablaOcurrencia_APMT_16sectores!H117)</f>
        <v>11</v>
      </c>
      <c r="E118" s="17">
        <f>TablaOcurrencia_APMT_16sectores!K117</f>
        <v>178.92500000000001</v>
      </c>
      <c r="F118" s="17">
        <f>TablaOcurrencia_APMT_16sectores!I117</f>
        <v>1.86051674</v>
      </c>
      <c r="G118" s="17">
        <f>TablaOcurrencia_APMT_16sectores!J117</f>
        <v>10.4078878751068</v>
      </c>
      <c r="H118" s="18">
        <f>TablaOcurrencia_APMT_16sectores!M117</f>
        <v>2.9982984656207602E-4</v>
      </c>
      <c r="I118" s="19">
        <f>TablaOcurrencia_APMT_16sectores!N117</f>
        <v>0.10943789399515774</v>
      </c>
    </row>
    <row r="119" spans="1:9" ht="15.6" x14ac:dyDescent="0.3">
      <c r="A119" s="16" t="str">
        <f>TablaOcurrencia_APMT_16sectores!B118</f>
        <v>SSW</v>
      </c>
      <c r="B119" s="17">
        <f>0.5*(TablaOcurrencia_APMT_16sectores!C118+TablaOcurrencia_APMT_16sectores!D118)</f>
        <v>213.75</v>
      </c>
      <c r="C119" s="17">
        <f>0.5*(TablaOcurrencia_APMT_16sectores!E118+TablaOcurrencia_APMT_16sectores!F118)</f>
        <v>1.25</v>
      </c>
      <c r="D119" s="17">
        <f>0.5*(TablaOcurrencia_APMT_16sectores!G118+TablaOcurrencia_APMT_16sectores!H118)</f>
        <v>19</v>
      </c>
      <c r="E119" s="17">
        <f>TablaOcurrencia_APMT_16sectores!K118</f>
        <v>217.55357142857099</v>
      </c>
      <c r="F119" s="17">
        <f>TablaOcurrencia_APMT_16sectores!I118</f>
        <v>1.3871250491071401</v>
      </c>
      <c r="G119" s="17">
        <f>TablaOcurrencia_APMT_16sectores!J118</f>
        <v>19.185885393217099</v>
      </c>
      <c r="H119" s="18">
        <f>TablaOcurrencia_APMT_16sectores!M118</f>
        <v>2.7984119012460429E-4</v>
      </c>
      <c r="I119" s="19">
        <f>TablaOcurrencia_APMT_16sectores!N118</f>
        <v>0.10214203439548057</v>
      </c>
    </row>
    <row r="120" spans="1:9" ht="15.6" x14ac:dyDescent="0.3">
      <c r="A120" s="16" t="str">
        <f>TablaOcurrencia_APMT_16sectores!B119</f>
        <v>SW</v>
      </c>
      <c r="B120" s="17">
        <f>0.5*(TablaOcurrencia_APMT_16sectores!C119+TablaOcurrencia_APMT_16sectores!D119)</f>
        <v>236.25</v>
      </c>
      <c r="C120" s="17">
        <f>0.5*(TablaOcurrencia_APMT_16sectores!E119+TablaOcurrencia_APMT_16sectores!F119)</f>
        <v>2.75</v>
      </c>
      <c r="D120" s="17">
        <f>0.5*(TablaOcurrencia_APMT_16sectores!G119+TablaOcurrencia_APMT_16sectores!H119)</f>
        <v>13</v>
      </c>
      <c r="E120" s="17">
        <f>TablaOcurrencia_APMT_16sectores!K119</f>
        <v>227.756756756756</v>
      </c>
      <c r="F120" s="17">
        <f>TablaOcurrencia_APMT_16sectores!I119</f>
        <v>2.61587398108108</v>
      </c>
      <c r="G120" s="17">
        <f>TablaOcurrencia_APMT_16sectores!J119</f>
        <v>13.3862513320717</v>
      </c>
      <c r="H120" s="18">
        <f>TablaOcurrencia_APMT_16sectores!M119</f>
        <v>2.7734260806992035E-4</v>
      </c>
      <c r="I120" s="19">
        <f>TablaOcurrencia_APMT_16sectores!N119</f>
        <v>0.10123005194552091</v>
      </c>
    </row>
    <row r="121" spans="1:9" ht="15.6" x14ac:dyDescent="0.3">
      <c r="A121" s="16" t="str">
        <f>TablaOcurrencia_APMT_16sectores!B120</f>
        <v>W</v>
      </c>
      <c r="B121" s="17">
        <f>0.5*(TablaOcurrencia_APMT_16sectores!C120+TablaOcurrencia_APMT_16sectores!D120)</f>
        <v>281.25</v>
      </c>
      <c r="C121" s="17">
        <f>0.5*(TablaOcurrencia_APMT_16sectores!E120+TablaOcurrencia_APMT_16sectores!F120)</f>
        <v>2.25</v>
      </c>
      <c r="D121" s="17">
        <f>0.5*(TablaOcurrencia_APMT_16sectores!G120+TablaOcurrencia_APMT_16sectores!H120)</f>
        <v>19</v>
      </c>
      <c r="E121" s="17">
        <f>TablaOcurrencia_APMT_16sectores!K120</f>
        <v>283.71818181818099</v>
      </c>
      <c r="F121" s="17">
        <f>TablaOcurrencia_APMT_16sectores!I120</f>
        <v>2.2213818945454502</v>
      </c>
      <c r="G121" s="17">
        <f>TablaOcurrencia_APMT_16sectores!J120</f>
        <v>18.971022027498901</v>
      </c>
      <c r="H121" s="18">
        <f>TablaOcurrencia_APMT_16sectores!M120</f>
        <v>2.7484402601523635E-4</v>
      </c>
      <c r="I121" s="19">
        <f>TablaOcurrencia_APMT_16sectores!N120</f>
        <v>0.10031806949556127</v>
      </c>
    </row>
    <row r="122" spans="1:9" ht="15.6" x14ac:dyDescent="0.3">
      <c r="A122" s="16" t="str">
        <f>TablaOcurrencia_APMT_16sectores!B121</f>
        <v>SSW</v>
      </c>
      <c r="B122" s="17">
        <f>0.5*(TablaOcurrencia_APMT_16sectores!C121+TablaOcurrencia_APMT_16sectores!D121)</f>
        <v>213.75</v>
      </c>
      <c r="C122" s="17">
        <f>0.5*(TablaOcurrencia_APMT_16sectores!E121+TablaOcurrencia_APMT_16sectores!F121)</f>
        <v>4.25</v>
      </c>
      <c r="D122" s="17">
        <f>0.5*(TablaOcurrencia_APMT_16sectores!G121+TablaOcurrencia_APMT_16sectores!H121)</f>
        <v>19</v>
      </c>
      <c r="E122" s="17">
        <f>TablaOcurrencia_APMT_16sectores!K121</f>
        <v>210.56880733944899</v>
      </c>
      <c r="F122" s="17">
        <f>TablaOcurrencia_APMT_16sectores!I121</f>
        <v>4.1318717394495401</v>
      </c>
      <c r="G122" s="17">
        <f>TablaOcurrencia_APMT_16sectores!J121</f>
        <v>18.910486288005</v>
      </c>
      <c r="H122" s="18">
        <f>TablaOcurrencia_APMT_16sectores!M121</f>
        <v>2.7234544396055241E-4</v>
      </c>
      <c r="I122" s="19">
        <f>TablaOcurrencia_APMT_16sectores!N121</f>
        <v>9.9406087045601624E-2</v>
      </c>
    </row>
    <row r="123" spans="1:9" ht="15.6" x14ac:dyDescent="0.3">
      <c r="A123" s="16" t="str">
        <f>TablaOcurrencia_APMT_16sectores!B122</f>
        <v>S</v>
      </c>
      <c r="B123" s="17">
        <f>0.5*(TablaOcurrencia_APMT_16sectores!C122+TablaOcurrencia_APMT_16sectores!D122)</f>
        <v>191.25</v>
      </c>
      <c r="C123" s="17">
        <f>0.5*(TablaOcurrencia_APMT_16sectores!E122+TablaOcurrencia_APMT_16sectores!F122)</f>
        <v>2.25</v>
      </c>
      <c r="D123" s="17">
        <f>0.5*(TablaOcurrencia_APMT_16sectores!G122+TablaOcurrencia_APMT_16sectores!H122)</f>
        <v>21</v>
      </c>
      <c r="E123" s="17">
        <f>TablaOcurrencia_APMT_16sectores!K122</f>
        <v>197.77570093457899</v>
      </c>
      <c r="F123" s="17">
        <f>TablaOcurrencia_APMT_16sectores!I122</f>
        <v>2.24596270093457</v>
      </c>
      <c r="G123" s="17">
        <f>TablaOcurrencia_APMT_16sectores!J122</f>
        <v>21.039949935278401</v>
      </c>
      <c r="H123" s="18">
        <f>TablaOcurrencia_APMT_16sectores!M122</f>
        <v>2.6734827985118448E-4</v>
      </c>
      <c r="I123" s="19">
        <f>TablaOcurrencia_APMT_16sectores!N122</f>
        <v>9.7582122145682321E-2</v>
      </c>
    </row>
    <row r="124" spans="1:9" ht="15.6" x14ac:dyDescent="0.3">
      <c r="A124" s="16" t="str">
        <f>TablaOcurrencia_APMT_16sectores!B123</f>
        <v>S</v>
      </c>
      <c r="B124" s="17">
        <f>0.5*(TablaOcurrencia_APMT_16sectores!C123+TablaOcurrencia_APMT_16sectores!D123)</f>
        <v>191.25</v>
      </c>
      <c r="C124" s="17">
        <f>0.5*(TablaOcurrencia_APMT_16sectores!E123+TablaOcurrencia_APMT_16sectores!F123)</f>
        <v>2.75</v>
      </c>
      <c r="D124" s="17">
        <f>0.5*(TablaOcurrencia_APMT_16sectores!G123+TablaOcurrencia_APMT_16sectores!H123)</f>
        <v>7</v>
      </c>
      <c r="E124" s="17">
        <f>TablaOcurrencia_APMT_16sectores!K123</f>
        <v>183.25471698113199</v>
      </c>
      <c r="F124" s="17">
        <f>TablaOcurrencia_APMT_16sectores!I123</f>
        <v>2.6690378358490499</v>
      </c>
      <c r="G124" s="17">
        <f>TablaOcurrencia_APMT_16sectores!J123</f>
        <v>7.8287652496083604</v>
      </c>
      <c r="H124" s="18">
        <f>TablaOcurrencia_APMT_16sectores!M123</f>
        <v>2.6484969779650048E-4</v>
      </c>
      <c r="I124" s="19">
        <f>TablaOcurrencia_APMT_16sectores!N123</f>
        <v>9.6670139695722676E-2</v>
      </c>
    </row>
    <row r="125" spans="1:9" ht="15.6" x14ac:dyDescent="0.3">
      <c r="A125" s="16" t="str">
        <f>TablaOcurrencia_APMT_16sectores!B124</f>
        <v>SW</v>
      </c>
      <c r="B125" s="17">
        <f>0.5*(TablaOcurrencia_APMT_16sectores!C124+TablaOcurrencia_APMT_16sectores!D124)</f>
        <v>236.25</v>
      </c>
      <c r="C125" s="17">
        <f>0.5*(TablaOcurrencia_APMT_16sectores!E124+TablaOcurrencia_APMT_16sectores!F124)</f>
        <v>2.75</v>
      </c>
      <c r="D125" s="17">
        <f>0.5*(TablaOcurrencia_APMT_16sectores!G124+TablaOcurrencia_APMT_16sectores!H124)</f>
        <v>19</v>
      </c>
      <c r="E125" s="17">
        <f>TablaOcurrencia_APMT_16sectores!K124</f>
        <v>228.80769230769201</v>
      </c>
      <c r="F125" s="17">
        <f>TablaOcurrencia_APMT_16sectores!I124</f>
        <v>2.63996161923076</v>
      </c>
      <c r="G125" s="17">
        <f>TablaOcurrencia_APMT_16sectores!J124</f>
        <v>19.013543224405598</v>
      </c>
      <c r="H125" s="18">
        <f>TablaOcurrencia_APMT_16sectores!M124</f>
        <v>2.5985253368713255E-4</v>
      </c>
      <c r="I125" s="19">
        <f>TablaOcurrencia_APMT_16sectores!N124</f>
        <v>9.4846174795803387E-2</v>
      </c>
    </row>
    <row r="126" spans="1:9" ht="15.6" x14ac:dyDescent="0.3">
      <c r="A126" s="16" t="str">
        <f>TablaOcurrencia_APMT_16sectores!B125</f>
        <v>SW</v>
      </c>
      <c r="B126" s="17">
        <f>0.5*(TablaOcurrencia_APMT_16sectores!C125+TablaOcurrencia_APMT_16sectores!D125)</f>
        <v>236.25</v>
      </c>
      <c r="C126" s="17">
        <f>0.5*(TablaOcurrencia_APMT_16sectores!E125+TablaOcurrencia_APMT_16sectores!F125)</f>
        <v>3.25</v>
      </c>
      <c r="D126" s="17">
        <f>0.5*(TablaOcurrencia_APMT_16sectores!G125+TablaOcurrencia_APMT_16sectores!H125)</f>
        <v>17</v>
      </c>
      <c r="E126" s="17">
        <f>TablaOcurrencia_APMT_16sectores!K125</f>
        <v>231.548076923076</v>
      </c>
      <c r="F126" s="17">
        <f>TablaOcurrencia_APMT_16sectores!I125</f>
        <v>3.1120578105769199</v>
      </c>
      <c r="G126" s="17">
        <f>TablaOcurrencia_APMT_16sectores!J125</f>
        <v>17.1107715189065</v>
      </c>
      <c r="H126" s="18">
        <f>TablaOcurrencia_APMT_16sectores!M125</f>
        <v>2.5985253368713255E-4</v>
      </c>
      <c r="I126" s="19">
        <f>TablaOcurrencia_APMT_16sectores!N125</f>
        <v>9.4846174795803387E-2</v>
      </c>
    </row>
    <row r="127" spans="1:9" ht="15.6" x14ac:dyDescent="0.3">
      <c r="A127" s="16" t="str">
        <f>TablaOcurrencia_APMT_16sectores!B126</f>
        <v>S</v>
      </c>
      <c r="B127" s="17">
        <f>0.5*(TablaOcurrencia_APMT_16sectores!C126+TablaOcurrencia_APMT_16sectores!D126)</f>
        <v>191.25</v>
      </c>
      <c r="C127" s="17">
        <f>0.5*(TablaOcurrencia_APMT_16sectores!E126+TablaOcurrencia_APMT_16sectores!F126)</f>
        <v>3.75</v>
      </c>
      <c r="D127" s="17">
        <f>0.5*(TablaOcurrencia_APMT_16sectores!G126+TablaOcurrencia_APMT_16sectores!H126)</f>
        <v>13</v>
      </c>
      <c r="E127" s="17">
        <f>TablaOcurrencia_APMT_16sectores!K126</f>
        <v>196.24509803921501</v>
      </c>
      <c r="F127" s="17">
        <f>TablaOcurrencia_APMT_16sectores!I126</f>
        <v>3.65372564019607</v>
      </c>
      <c r="G127" s="17">
        <f>TablaOcurrencia_APMT_16sectores!J126</f>
        <v>13.3042090346927</v>
      </c>
      <c r="H127" s="18">
        <f>TablaOcurrencia_APMT_16sectores!M126</f>
        <v>2.5485536957776462E-4</v>
      </c>
      <c r="I127" s="19">
        <f>TablaOcurrencia_APMT_16sectores!N126</f>
        <v>9.3022209895884084E-2</v>
      </c>
    </row>
    <row r="128" spans="1:9" ht="15.6" x14ac:dyDescent="0.3">
      <c r="A128" s="16" t="str">
        <f>TablaOcurrencia_APMT_16sectores!B127</f>
        <v>W</v>
      </c>
      <c r="B128" s="17">
        <f>0.5*(TablaOcurrencia_APMT_16sectores!C127+TablaOcurrencia_APMT_16sectores!D127)</f>
        <v>281.25</v>
      </c>
      <c r="C128" s="17">
        <f>0.5*(TablaOcurrencia_APMT_16sectores!E127+TablaOcurrencia_APMT_16sectores!F127)</f>
        <v>1.25</v>
      </c>
      <c r="D128" s="17">
        <f>0.5*(TablaOcurrencia_APMT_16sectores!G127+TablaOcurrencia_APMT_16sectores!H127)</f>
        <v>13</v>
      </c>
      <c r="E128" s="17">
        <f>TablaOcurrencia_APMT_16sectores!K127</f>
        <v>281.29411764705799</v>
      </c>
      <c r="F128" s="17">
        <f>TablaOcurrencia_APMT_16sectores!I127</f>
        <v>1.3310392696078399</v>
      </c>
      <c r="G128" s="17">
        <f>TablaOcurrencia_APMT_16sectores!J127</f>
        <v>13.3354174751115</v>
      </c>
      <c r="H128" s="18">
        <f>TablaOcurrencia_APMT_16sectores!M127</f>
        <v>2.5485536957776462E-4</v>
      </c>
      <c r="I128" s="19">
        <f>TablaOcurrencia_APMT_16sectores!N127</f>
        <v>9.3022209895884084E-2</v>
      </c>
    </row>
    <row r="129" spans="1:9" ht="15.6" x14ac:dyDescent="0.3">
      <c r="A129" s="16" t="str">
        <f>TablaOcurrencia_APMT_16sectores!B128</f>
        <v>WSW</v>
      </c>
      <c r="B129" s="17">
        <f>0.5*(TablaOcurrencia_APMT_16sectores!C128+TablaOcurrencia_APMT_16sectores!D128)</f>
        <v>258.75</v>
      </c>
      <c r="C129" s="17">
        <f>0.5*(TablaOcurrencia_APMT_16sectores!E128+TablaOcurrencia_APMT_16sectores!F128)</f>
        <v>1.75</v>
      </c>
      <c r="D129" s="17">
        <f>0.5*(TablaOcurrencia_APMT_16sectores!G128+TablaOcurrencia_APMT_16sectores!H128)</f>
        <v>19</v>
      </c>
      <c r="E129" s="17">
        <f>TablaOcurrencia_APMT_16sectores!K128</f>
        <v>259.39603960395999</v>
      </c>
      <c r="F129" s="17">
        <f>TablaOcurrencia_APMT_16sectores!I128</f>
        <v>1.77976244653465</v>
      </c>
      <c r="G129" s="17">
        <f>TablaOcurrencia_APMT_16sectores!J128</f>
        <v>19.047511391270401</v>
      </c>
      <c r="H129" s="18">
        <f>TablaOcurrencia_APMT_16sectores!M128</f>
        <v>2.5235678752308068E-4</v>
      </c>
      <c r="I129" s="19">
        <f>TablaOcurrencia_APMT_16sectores!N128</f>
        <v>9.2110227445924439E-2</v>
      </c>
    </row>
    <row r="130" spans="1:9" ht="15.6" x14ac:dyDescent="0.3">
      <c r="A130" s="16" t="str">
        <f>TablaOcurrencia_APMT_16sectores!B129</f>
        <v>SSW</v>
      </c>
      <c r="B130" s="17">
        <f>0.5*(TablaOcurrencia_APMT_16sectores!C129+TablaOcurrencia_APMT_16sectores!D129)</f>
        <v>213.75</v>
      </c>
      <c r="C130" s="17">
        <f>0.5*(TablaOcurrencia_APMT_16sectores!E129+TablaOcurrencia_APMT_16sectores!F129)</f>
        <v>1.25</v>
      </c>
      <c r="D130" s="17">
        <f>0.5*(TablaOcurrencia_APMT_16sectores!G129+TablaOcurrencia_APMT_16sectores!H129)</f>
        <v>9</v>
      </c>
      <c r="E130" s="17">
        <f>TablaOcurrencia_APMT_16sectores!K129</f>
        <v>206.64130434782601</v>
      </c>
      <c r="F130" s="17">
        <f>TablaOcurrencia_APMT_16sectores!I129</f>
        <v>1.38339135652173</v>
      </c>
      <c r="G130" s="17">
        <f>TablaOcurrencia_APMT_16sectores!J129</f>
        <v>9.6817119937849103</v>
      </c>
      <c r="H130" s="18">
        <f>TablaOcurrencia_APMT_16sectores!M129</f>
        <v>2.2986954903092495E-4</v>
      </c>
      <c r="I130" s="19">
        <f>TablaOcurrencia_APMT_16sectores!N129</f>
        <v>8.390238539628761E-2</v>
      </c>
    </row>
    <row r="131" spans="1:9" ht="15.6" x14ac:dyDescent="0.3">
      <c r="A131" s="16" t="str">
        <f>TablaOcurrencia_APMT_16sectores!B130</f>
        <v>SSE</v>
      </c>
      <c r="B131" s="17">
        <f>0.5*(TablaOcurrencia_APMT_16sectores!C130+TablaOcurrencia_APMT_16sectores!D130)</f>
        <v>168.75</v>
      </c>
      <c r="C131" s="17">
        <f>0.5*(TablaOcurrencia_APMT_16sectores!E130+TablaOcurrencia_APMT_16sectores!F130)</f>
        <v>0.75</v>
      </c>
      <c r="D131" s="17">
        <f>0.5*(TablaOcurrencia_APMT_16sectores!G130+TablaOcurrencia_APMT_16sectores!H130)</f>
        <v>13</v>
      </c>
      <c r="E131" s="17">
        <f>TablaOcurrencia_APMT_16sectores!K130</f>
        <v>166.58888888888799</v>
      </c>
      <c r="F131" s="17">
        <f>TablaOcurrencia_APMT_16sectores!I130</f>
        <v>0.69806669633333296</v>
      </c>
      <c r="G131" s="17">
        <f>TablaOcurrencia_APMT_16sectores!J130</f>
        <v>13.361900537301899</v>
      </c>
      <c r="H131" s="18">
        <f>TablaOcurrencia_APMT_16sectores!M130</f>
        <v>2.2487238492155701E-4</v>
      </c>
      <c r="I131" s="19">
        <f>TablaOcurrencia_APMT_16sectores!N130</f>
        <v>8.2078420496368307E-2</v>
      </c>
    </row>
    <row r="132" spans="1:9" ht="15.6" x14ac:dyDescent="0.3">
      <c r="A132" s="16" t="str">
        <f>TablaOcurrencia_APMT_16sectores!B131</f>
        <v>SW</v>
      </c>
      <c r="B132" s="17">
        <f>0.5*(TablaOcurrencia_APMT_16sectores!C131+TablaOcurrencia_APMT_16sectores!D131)</f>
        <v>236.25</v>
      </c>
      <c r="C132" s="17">
        <f>0.5*(TablaOcurrencia_APMT_16sectores!E131+TablaOcurrencia_APMT_16sectores!F131)</f>
        <v>3.25</v>
      </c>
      <c r="D132" s="17">
        <f>0.5*(TablaOcurrencia_APMT_16sectores!G131+TablaOcurrencia_APMT_16sectores!H131)</f>
        <v>15</v>
      </c>
      <c r="E132" s="17">
        <f>TablaOcurrencia_APMT_16sectores!K131</f>
        <v>229.14606741572999</v>
      </c>
      <c r="F132" s="17">
        <f>TablaOcurrencia_APMT_16sectores!I131</f>
        <v>3.1367416898876401</v>
      </c>
      <c r="G132" s="17">
        <f>TablaOcurrencia_APMT_16sectores!J131</f>
        <v>15.126128621837999</v>
      </c>
      <c r="H132" s="18">
        <f>TablaOcurrencia_APMT_16sectores!M131</f>
        <v>2.2237380286687305E-4</v>
      </c>
      <c r="I132" s="19">
        <f>TablaOcurrencia_APMT_16sectores!N131</f>
        <v>8.1166438046408662E-2</v>
      </c>
    </row>
    <row r="133" spans="1:9" ht="15.6" x14ac:dyDescent="0.3">
      <c r="A133" s="16" t="str">
        <f>TablaOcurrencia_APMT_16sectores!B132</f>
        <v>S</v>
      </c>
      <c r="B133" s="17">
        <f>0.5*(TablaOcurrencia_APMT_16sectores!C132+TablaOcurrencia_APMT_16sectores!D132)</f>
        <v>191.25</v>
      </c>
      <c r="C133" s="17">
        <f>0.5*(TablaOcurrencia_APMT_16sectores!E132+TablaOcurrencia_APMT_16sectores!F132)</f>
        <v>4.25</v>
      </c>
      <c r="D133" s="17">
        <f>0.5*(TablaOcurrencia_APMT_16sectores!G132+TablaOcurrencia_APMT_16sectores!H132)</f>
        <v>17</v>
      </c>
      <c r="E133" s="17">
        <f>TablaOcurrencia_APMT_16sectores!K132</f>
        <v>201.03448275861999</v>
      </c>
      <c r="F133" s="17">
        <f>TablaOcurrencia_APMT_16sectores!I132</f>
        <v>4.2168047540229798</v>
      </c>
      <c r="G133" s="17">
        <f>TablaOcurrencia_APMT_16sectores!J132</f>
        <v>16.881256364038499</v>
      </c>
      <c r="H133" s="18">
        <f>TablaOcurrencia_APMT_16sectores!M132</f>
        <v>2.1737663875750511E-4</v>
      </c>
      <c r="I133" s="19">
        <f>TablaOcurrencia_APMT_16sectores!N132</f>
        <v>7.9342473146489373E-2</v>
      </c>
    </row>
    <row r="134" spans="1:9" ht="15.6" x14ac:dyDescent="0.3">
      <c r="A134" s="16" t="str">
        <f>TablaOcurrencia_APMT_16sectores!B133</f>
        <v>WNW</v>
      </c>
      <c r="B134" s="17">
        <f>0.5*(TablaOcurrencia_APMT_16sectores!C133+TablaOcurrencia_APMT_16sectores!D133)</f>
        <v>303.75</v>
      </c>
      <c r="C134" s="17">
        <f>0.5*(TablaOcurrencia_APMT_16sectores!E133+TablaOcurrencia_APMT_16sectores!F133)</f>
        <v>1.25</v>
      </c>
      <c r="D134" s="17">
        <f>0.5*(TablaOcurrencia_APMT_16sectores!G133+TablaOcurrencia_APMT_16sectores!H133)</f>
        <v>21</v>
      </c>
      <c r="E134" s="17">
        <f>TablaOcurrencia_APMT_16sectores!K133</f>
        <v>303</v>
      </c>
      <c r="F134" s="17">
        <f>TablaOcurrencia_APMT_16sectores!I133</f>
        <v>1.42358626551724</v>
      </c>
      <c r="G134" s="17">
        <f>TablaOcurrencia_APMT_16sectores!J133</f>
        <v>21.231806992540701</v>
      </c>
      <c r="H134" s="18">
        <f>TablaOcurrencia_APMT_16sectores!M133</f>
        <v>2.1737663875750511E-4</v>
      </c>
      <c r="I134" s="19">
        <f>TablaOcurrencia_APMT_16sectores!N133</f>
        <v>7.9342473146489373E-2</v>
      </c>
    </row>
    <row r="135" spans="1:9" ht="15.6" x14ac:dyDescent="0.3">
      <c r="A135" s="16" t="str">
        <f>TablaOcurrencia_APMT_16sectores!B134</f>
        <v>S</v>
      </c>
      <c r="B135" s="17">
        <f>0.5*(TablaOcurrencia_APMT_16sectores!C134+TablaOcurrencia_APMT_16sectores!D134)</f>
        <v>191.25</v>
      </c>
      <c r="C135" s="17">
        <f>0.5*(TablaOcurrencia_APMT_16sectores!E134+TablaOcurrencia_APMT_16sectores!F134)</f>
        <v>3.75</v>
      </c>
      <c r="D135" s="17">
        <f>0.5*(TablaOcurrencia_APMT_16sectores!G134+TablaOcurrencia_APMT_16sectores!H134)</f>
        <v>19</v>
      </c>
      <c r="E135" s="17">
        <f>TablaOcurrencia_APMT_16sectores!K134</f>
        <v>199</v>
      </c>
      <c r="F135" s="17">
        <f>TablaOcurrencia_APMT_16sectores!I134</f>
        <v>3.7159754629629602</v>
      </c>
      <c r="G135" s="17">
        <f>TablaOcurrencia_APMT_16sectores!J134</f>
        <v>18.9293698379727</v>
      </c>
      <c r="H135" s="18">
        <f>TablaOcurrencia_APMT_16sectores!M134</f>
        <v>2.0238514642940131E-4</v>
      </c>
      <c r="I135" s="19">
        <f>TablaOcurrencia_APMT_16sectores!N134</f>
        <v>7.3870578446731477E-2</v>
      </c>
    </row>
    <row r="136" spans="1:9" ht="15.6" x14ac:dyDescent="0.3">
      <c r="A136" s="16" t="str">
        <f>TablaOcurrencia_APMT_16sectores!B135</f>
        <v>SSE</v>
      </c>
      <c r="B136" s="17">
        <f>0.5*(TablaOcurrencia_APMT_16sectores!C135+TablaOcurrencia_APMT_16sectores!D135)</f>
        <v>168.75</v>
      </c>
      <c r="C136" s="17">
        <f>0.5*(TablaOcurrencia_APMT_16sectores!E135+TablaOcurrencia_APMT_16sectores!F135)</f>
        <v>0.75</v>
      </c>
      <c r="D136" s="17">
        <f>0.5*(TablaOcurrencia_APMT_16sectores!G135+TablaOcurrencia_APMT_16sectores!H135)</f>
        <v>15</v>
      </c>
      <c r="E136" s="17">
        <f>TablaOcurrencia_APMT_16sectores!K135</f>
        <v>173.935897435897</v>
      </c>
      <c r="F136" s="17">
        <f>TablaOcurrencia_APMT_16sectores!I135</f>
        <v>0.74705131012820503</v>
      </c>
      <c r="G136" s="17">
        <f>TablaOcurrencia_APMT_16sectores!J135</f>
        <v>14.771277093872101</v>
      </c>
      <c r="H136" s="18">
        <f>TablaOcurrencia_APMT_16sectores!M135</f>
        <v>1.9488940026534941E-4</v>
      </c>
      <c r="I136" s="19">
        <f>TablaOcurrencia_APMT_16sectores!N135</f>
        <v>7.113463109685253E-2</v>
      </c>
    </row>
    <row r="137" spans="1:9" ht="15.6" x14ac:dyDescent="0.3">
      <c r="A137" s="16" t="str">
        <f>TablaOcurrencia_APMT_16sectores!B136</f>
        <v>SSE</v>
      </c>
      <c r="B137" s="17">
        <f>0.5*(TablaOcurrencia_APMT_16sectores!C136+TablaOcurrencia_APMT_16sectores!D136)</f>
        <v>168.75</v>
      </c>
      <c r="C137" s="17">
        <f>0.5*(TablaOcurrencia_APMT_16sectores!E136+TablaOcurrencia_APMT_16sectores!F136)</f>
        <v>1.25</v>
      </c>
      <c r="D137" s="17">
        <f>0.5*(TablaOcurrencia_APMT_16sectores!G136+TablaOcurrencia_APMT_16sectores!H136)</f>
        <v>17</v>
      </c>
      <c r="E137" s="17">
        <f>TablaOcurrencia_APMT_16sectores!K136</f>
        <v>168</v>
      </c>
      <c r="F137" s="17">
        <f>TablaOcurrencia_APMT_16sectores!I136</f>
        <v>1.3127692897435801</v>
      </c>
      <c r="G137" s="17">
        <f>TablaOcurrencia_APMT_16sectores!J136</f>
        <v>17.036156511632399</v>
      </c>
      <c r="H137" s="18">
        <f>TablaOcurrencia_APMT_16sectores!M136</f>
        <v>1.9488940026534941E-4</v>
      </c>
      <c r="I137" s="19">
        <f>TablaOcurrencia_APMT_16sectores!N136</f>
        <v>7.113463109685253E-2</v>
      </c>
    </row>
    <row r="138" spans="1:9" ht="15.6" x14ac:dyDescent="0.3">
      <c r="A138" s="16" t="str">
        <f>TablaOcurrencia_APMT_16sectores!B137</f>
        <v>S</v>
      </c>
      <c r="B138" s="17">
        <f>0.5*(TablaOcurrencia_APMT_16sectores!C137+TablaOcurrencia_APMT_16sectores!D137)</f>
        <v>191.25</v>
      </c>
      <c r="C138" s="17">
        <f>0.5*(TablaOcurrencia_APMT_16sectores!E137+TablaOcurrencia_APMT_16sectores!F137)</f>
        <v>1.25</v>
      </c>
      <c r="D138" s="17">
        <f>0.5*(TablaOcurrencia_APMT_16sectores!G137+TablaOcurrencia_APMT_16sectores!H137)</f>
        <v>17</v>
      </c>
      <c r="E138" s="17">
        <f>TablaOcurrencia_APMT_16sectores!K137</f>
        <v>198.34666666666601</v>
      </c>
      <c r="F138" s="17">
        <f>TablaOcurrencia_APMT_16sectores!I137</f>
        <v>1.4173334</v>
      </c>
      <c r="G138" s="17">
        <f>TablaOcurrencia_APMT_16sectores!J137</f>
        <v>16.747142791440801</v>
      </c>
      <c r="H138" s="18">
        <f>TablaOcurrencia_APMT_16sectores!M137</f>
        <v>1.8739365410129751E-4</v>
      </c>
      <c r="I138" s="19">
        <f>TablaOcurrencia_APMT_16sectores!N137</f>
        <v>6.8398683746973596E-2</v>
      </c>
    </row>
    <row r="139" spans="1:9" ht="15.6" x14ac:dyDescent="0.3">
      <c r="A139" s="16" t="str">
        <f>TablaOcurrencia_APMT_16sectores!B138</f>
        <v>SSE</v>
      </c>
      <c r="B139" s="17">
        <f>0.5*(TablaOcurrencia_APMT_16sectores!C138+TablaOcurrencia_APMT_16sectores!D138)</f>
        <v>168.75</v>
      </c>
      <c r="C139" s="17">
        <f>0.5*(TablaOcurrencia_APMT_16sectores!E138+TablaOcurrencia_APMT_16sectores!F138)</f>
        <v>1.75</v>
      </c>
      <c r="D139" s="17">
        <f>0.5*(TablaOcurrencia_APMT_16sectores!G138+TablaOcurrencia_APMT_16sectores!H138)</f>
        <v>17</v>
      </c>
      <c r="E139" s="17">
        <f>TablaOcurrencia_APMT_16sectores!K138</f>
        <v>173.638888888888</v>
      </c>
      <c r="F139" s="17">
        <f>TablaOcurrencia_APMT_16sectores!I138</f>
        <v>1.715500075</v>
      </c>
      <c r="G139" s="17">
        <f>TablaOcurrencia_APMT_16sectores!J138</f>
        <v>17.1509344192615</v>
      </c>
      <c r="H139" s="18">
        <f>TablaOcurrencia_APMT_16sectores!M138</f>
        <v>1.7989790793724561E-4</v>
      </c>
      <c r="I139" s="19">
        <f>TablaOcurrencia_APMT_16sectores!N138</f>
        <v>6.5662736397094648E-2</v>
      </c>
    </row>
    <row r="140" spans="1:9" ht="15.6" x14ac:dyDescent="0.3">
      <c r="A140" s="16" t="str">
        <f>TablaOcurrencia_APMT_16sectores!B139</f>
        <v>WNW</v>
      </c>
      <c r="B140" s="17">
        <f>0.5*(TablaOcurrencia_APMT_16sectores!C139+TablaOcurrencia_APMT_16sectores!D139)</f>
        <v>303.75</v>
      </c>
      <c r="C140" s="17">
        <f>0.5*(TablaOcurrencia_APMT_16sectores!E139+TablaOcurrencia_APMT_16sectores!F139)</f>
        <v>1.75</v>
      </c>
      <c r="D140" s="17">
        <f>0.5*(TablaOcurrencia_APMT_16sectores!G139+TablaOcurrencia_APMT_16sectores!H139)</f>
        <v>23</v>
      </c>
      <c r="E140" s="17">
        <f>TablaOcurrencia_APMT_16sectores!K139</f>
        <v>303.222222222222</v>
      </c>
      <c r="F140" s="17">
        <f>TablaOcurrencia_APMT_16sectores!I139</f>
        <v>1.77344451805555</v>
      </c>
      <c r="G140" s="17">
        <f>TablaOcurrencia_APMT_16sectores!J139</f>
        <v>23.540357991955499</v>
      </c>
      <c r="H140" s="18">
        <f>TablaOcurrencia_APMT_16sectores!M139</f>
        <v>1.7989790793724561E-4</v>
      </c>
      <c r="I140" s="19">
        <f>TablaOcurrencia_APMT_16sectores!N139</f>
        <v>6.5662736397094648E-2</v>
      </c>
    </row>
    <row r="141" spans="1:9" ht="15.6" x14ac:dyDescent="0.3">
      <c r="A141" s="16" t="str">
        <f>TablaOcurrencia_APMT_16sectores!B140</f>
        <v>SSE</v>
      </c>
      <c r="B141" s="17">
        <f>0.5*(TablaOcurrencia_APMT_16sectores!C140+TablaOcurrencia_APMT_16sectores!D140)</f>
        <v>168.75</v>
      </c>
      <c r="C141" s="17">
        <f>0.5*(TablaOcurrencia_APMT_16sectores!E140+TablaOcurrencia_APMT_16sectores!F140)</f>
        <v>3.75</v>
      </c>
      <c r="D141" s="17">
        <f>0.5*(TablaOcurrencia_APMT_16sectores!G140+TablaOcurrencia_APMT_16sectores!H140)</f>
        <v>11</v>
      </c>
      <c r="E141" s="17">
        <f>TablaOcurrencia_APMT_16sectores!K140</f>
        <v>178.62857142857101</v>
      </c>
      <c r="F141" s="17">
        <f>TablaOcurrencia_APMT_16sectores!I140</f>
        <v>3.77611445285714</v>
      </c>
      <c r="G141" s="17">
        <f>TablaOcurrencia_APMT_16sectores!J140</f>
        <v>10.314745219673201</v>
      </c>
      <c r="H141" s="18">
        <f>TablaOcurrencia_APMT_16sectores!M140</f>
        <v>1.7490074382787768E-4</v>
      </c>
      <c r="I141" s="19">
        <f>TablaOcurrencia_APMT_16sectores!N140</f>
        <v>6.3838771497175359E-2</v>
      </c>
    </row>
    <row r="142" spans="1:9" ht="15.6" x14ac:dyDescent="0.3">
      <c r="A142" s="16" t="str">
        <f>TablaOcurrencia_APMT_16sectores!B141</f>
        <v>S</v>
      </c>
      <c r="B142" s="17">
        <f>0.5*(TablaOcurrencia_APMT_16sectores!C141+TablaOcurrencia_APMT_16sectores!D141)</f>
        <v>191.25</v>
      </c>
      <c r="C142" s="17">
        <f>0.5*(TablaOcurrencia_APMT_16sectores!E141+TablaOcurrencia_APMT_16sectores!F141)</f>
        <v>4.25</v>
      </c>
      <c r="D142" s="17">
        <f>0.5*(TablaOcurrencia_APMT_16sectores!G141+TablaOcurrencia_APMT_16sectores!H141)</f>
        <v>15</v>
      </c>
      <c r="E142" s="17">
        <f>TablaOcurrencia_APMT_16sectores!K141</f>
        <v>197.89393939393901</v>
      </c>
      <c r="F142" s="17">
        <f>TablaOcurrencia_APMT_16sectores!I141</f>
        <v>4.1727274090908999</v>
      </c>
      <c r="G142" s="17">
        <f>TablaOcurrencia_APMT_16sectores!J141</f>
        <v>15.115886988969899</v>
      </c>
      <c r="H142" s="18">
        <f>TablaOcurrencia_APMT_16sectores!M141</f>
        <v>1.6490641560914181E-4</v>
      </c>
      <c r="I142" s="19">
        <f>TablaOcurrencia_APMT_16sectores!N141</f>
        <v>6.019084169733676E-2</v>
      </c>
    </row>
    <row r="143" spans="1:9" ht="15.6" x14ac:dyDescent="0.3">
      <c r="A143" s="16" t="str">
        <f>TablaOcurrencia_APMT_16sectores!B142</f>
        <v>SSW</v>
      </c>
      <c r="B143" s="17">
        <f>0.5*(TablaOcurrencia_APMT_16sectores!C142+TablaOcurrencia_APMT_16sectores!D142)</f>
        <v>213.75</v>
      </c>
      <c r="C143" s="17">
        <f>0.5*(TablaOcurrencia_APMT_16sectores!E142+TablaOcurrencia_APMT_16sectores!F142)</f>
        <v>3.75</v>
      </c>
      <c r="D143" s="17">
        <f>0.5*(TablaOcurrencia_APMT_16sectores!G142+TablaOcurrencia_APMT_16sectores!H142)</f>
        <v>13</v>
      </c>
      <c r="E143" s="17">
        <f>TablaOcurrencia_APMT_16sectores!K142</f>
        <v>208.30303030303</v>
      </c>
      <c r="F143" s="17">
        <f>TablaOcurrencia_APMT_16sectores!I142</f>
        <v>3.66924258484848</v>
      </c>
      <c r="G143" s="17">
        <f>TablaOcurrencia_APMT_16sectores!J142</f>
        <v>13.428702502671101</v>
      </c>
      <c r="H143" s="18">
        <f>TablaOcurrencia_APMT_16sectores!M142</f>
        <v>1.6490641560914181E-4</v>
      </c>
      <c r="I143" s="19">
        <f>TablaOcurrencia_APMT_16sectores!N142</f>
        <v>6.019084169733676E-2</v>
      </c>
    </row>
    <row r="144" spans="1:9" ht="15.6" x14ac:dyDescent="0.3">
      <c r="A144" s="16" t="str">
        <f>TablaOcurrencia_APMT_16sectores!B143</f>
        <v>WSW</v>
      </c>
      <c r="B144" s="17">
        <f>0.5*(TablaOcurrencia_APMT_16sectores!C143+TablaOcurrencia_APMT_16sectores!D143)</f>
        <v>258.75</v>
      </c>
      <c r="C144" s="17">
        <f>0.5*(TablaOcurrencia_APMT_16sectores!E143+TablaOcurrencia_APMT_16sectores!F143)</f>
        <v>2.75</v>
      </c>
      <c r="D144" s="17">
        <f>0.5*(TablaOcurrencia_APMT_16sectores!G143+TablaOcurrencia_APMT_16sectores!H143)</f>
        <v>17</v>
      </c>
      <c r="E144" s="17">
        <f>TablaOcurrencia_APMT_16sectores!K143</f>
        <v>257.96923076923002</v>
      </c>
      <c r="F144" s="17">
        <f>TablaOcurrencia_APMT_16sectores!I143</f>
        <v>2.6261231600000001</v>
      </c>
      <c r="G144" s="17">
        <f>TablaOcurrencia_APMT_16sectores!J143</f>
        <v>17.255958410019101</v>
      </c>
      <c r="H144" s="18">
        <f>TablaOcurrencia_APMT_16sectores!M143</f>
        <v>1.6240783355445784E-4</v>
      </c>
      <c r="I144" s="19">
        <f>TablaOcurrencia_APMT_16sectores!N143</f>
        <v>5.9278859247377115E-2</v>
      </c>
    </row>
    <row r="145" spans="1:9" ht="15.6" x14ac:dyDescent="0.3">
      <c r="A145" s="16" t="str">
        <f>TablaOcurrencia_APMT_16sectores!B144</f>
        <v>SSE</v>
      </c>
      <c r="B145" s="17">
        <f>0.5*(TablaOcurrencia_APMT_16sectores!C144+TablaOcurrencia_APMT_16sectores!D144)</f>
        <v>168.75</v>
      </c>
      <c r="C145" s="17">
        <f>0.5*(TablaOcurrencia_APMT_16sectores!E144+TablaOcurrencia_APMT_16sectores!F144)</f>
        <v>1.25</v>
      </c>
      <c r="D145" s="17">
        <f>0.5*(TablaOcurrencia_APMT_16sectores!G144+TablaOcurrencia_APMT_16sectores!H144)</f>
        <v>9</v>
      </c>
      <c r="E145" s="17">
        <f>TablaOcurrencia_APMT_16sectores!K144</f>
        <v>178.171875</v>
      </c>
      <c r="F145" s="17">
        <f>TablaOcurrencia_APMT_16sectores!I144</f>
        <v>1.4189375546875</v>
      </c>
      <c r="G145" s="17">
        <f>TablaOcurrencia_APMT_16sectores!J144</f>
        <v>9.0179537886883097</v>
      </c>
      <c r="H145" s="18">
        <f>TablaOcurrencia_APMT_16sectores!M144</f>
        <v>1.5990925149977388E-4</v>
      </c>
      <c r="I145" s="19">
        <f>TablaOcurrencia_APMT_16sectores!N144</f>
        <v>5.8366876797417463E-2</v>
      </c>
    </row>
    <row r="146" spans="1:9" ht="15.6" x14ac:dyDescent="0.3">
      <c r="A146" s="16" t="str">
        <f>TablaOcurrencia_APMT_16sectores!B145</f>
        <v>WSW</v>
      </c>
      <c r="B146" s="17">
        <f>0.5*(TablaOcurrencia_APMT_16sectores!C145+TablaOcurrencia_APMT_16sectores!D145)</f>
        <v>258.75</v>
      </c>
      <c r="C146" s="17">
        <f>0.5*(TablaOcurrencia_APMT_16sectores!E145+TablaOcurrencia_APMT_16sectores!F145)</f>
        <v>2.25</v>
      </c>
      <c r="D146" s="17">
        <f>0.5*(TablaOcurrencia_APMT_16sectores!G145+TablaOcurrencia_APMT_16sectores!H145)</f>
        <v>19</v>
      </c>
      <c r="E146" s="17">
        <f>TablaOcurrencia_APMT_16sectores!K145</f>
        <v>260.322580645161</v>
      </c>
      <c r="F146" s="17">
        <f>TablaOcurrencia_APMT_16sectores!I145</f>
        <v>2.29370975483871</v>
      </c>
      <c r="G146" s="17">
        <f>TablaOcurrencia_APMT_16sectores!J145</f>
        <v>19.0608396629633</v>
      </c>
      <c r="H146" s="18">
        <f>TablaOcurrencia_APMT_16sectores!M145</f>
        <v>1.5491208739040594E-4</v>
      </c>
      <c r="I146" s="19">
        <f>TablaOcurrencia_APMT_16sectores!N145</f>
        <v>5.6542911897498167E-2</v>
      </c>
    </row>
    <row r="147" spans="1:9" ht="15.6" x14ac:dyDescent="0.3">
      <c r="A147" s="16" t="str">
        <f>TablaOcurrencia_APMT_16sectores!B146</f>
        <v>S</v>
      </c>
      <c r="B147" s="17">
        <f>0.5*(TablaOcurrencia_APMT_16sectores!C146+TablaOcurrencia_APMT_16sectores!D146)</f>
        <v>191.25</v>
      </c>
      <c r="C147" s="17">
        <f>0.5*(TablaOcurrencia_APMT_16sectores!E146+TablaOcurrencia_APMT_16sectores!F146)</f>
        <v>2.75</v>
      </c>
      <c r="D147" s="17">
        <f>0.5*(TablaOcurrencia_APMT_16sectores!G146+TablaOcurrencia_APMT_16sectores!H146)</f>
        <v>21</v>
      </c>
      <c r="E147" s="17">
        <f>TablaOcurrencia_APMT_16sectores!K146</f>
        <v>198.14754098360601</v>
      </c>
      <c r="F147" s="17">
        <f>TablaOcurrencia_APMT_16sectores!I146</f>
        <v>2.76350829672131</v>
      </c>
      <c r="G147" s="17">
        <f>TablaOcurrencia_APMT_16sectores!J146</f>
        <v>20.888963719446998</v>
      </c>
      <c r="H147" s="18">
        <f>TablaOcurrencia_APMT_16sectores!M146</f>
        <v>1.5241350533572198E-4</v>
      </c>
      <c r="I147" s="19">
        <f>TablaOcurrencia_APMT_16sectores!N146</f>
        <v>5.5630929447538523E-2</v>
      </c>
    </row>
    <row r="148" spans="1:9" ht="15.6" x14ac:dyDescent="0.3">
      <c r="A148" s="16" t="str">
        <f>TablaOcurrencia_APMT_16sectores!B147</f>
        <v>SSE</v>
      </c>
      <c r="B148" s="17">
        <f>0.5*(TablaOcurrencia_APMT_16sectores!C147+TablaOcurrencia_APMT_16sectores!D147)</f>
        <v>168.75</v>
      </c>
      <c r="C148" s="17">
        <f>0.5*(TablaOcurrencia_APMT_16sectores!E147+TablaOcurrencia_APMT_16sectores!F147)</f>
        <v>0.75</v>
      </c>
      <c r="D148" s="17">
        <f>0.5*(TablaOcurrencia_APMT_16sectores!G147+TablaOcurrencia_APMT_16sectores!H147)</f>
        <v>9</v>
      </c>
      <c r="E148" s="17">
        <f>TablaOcurrencia_APMT_16sectores!K147</f>
        <v>173.81666666666601</v>
      </c>
      <c r="F148" s="17">
        <f>TablaOcurrencia_APMT_16sectores!I147</f>
        <v>0.88853337083333295</v>
      </c>
      <c r="G148" s="17">
        <f>TablaOcurrencia_APMT_16sectores!J147</f>
        <v>8.5227243856858195</v>
      </c>
      <c r="H148" s="18">
        <f>TablaOcurrencia_APMT_16sectores!M147</f>
        <v>1.4991492328103801E-4</v>
      </c>
      <c r="I148" s="19">
        <f>TablaOcurrencia_APMT_16sectores!N147</f>
        <v>5.4718946997578871E-2</v>
      </c>
    </row>
    <row r="149" spans="1:9" ht="15.6" x14ac:dyDescent="0.3">
      <c r="A149" s="16" t="str">
        <f>TablaOcurrencia_APMT_16sectores!B148</f>
        <v>SSW</v>
      </c>
      <c r="B149" s="17">
        <f>0.5*(TablaOcurrencia_APMT_16sectores!C148+TablaOcurrencia_APMT_16sectores!D148)</f>
        <v>213.75</v>
      </c>
      <c r="C149" s="17">
        <f>0.5*(TablaOcurrencia_APMT_16sectores!E148+TablaOcurrencia_APMT_16sectores!F148)</f>
        <v>1.75</v>
      </c>
      <c r="D149" s="17">
        <f>0.5*(TablaOcurrencia_APMT_16sectores!G148+TablaOcurrencia_APMT_16sectores!H148)</f>
        <v>5</v>
      </c>
      <c r="E149" s="17">
        <f>TablaOcurrencia_APMT_16sectores!K148</f>
        <v>210.15254237288099</v>
      </c>
      <c r="F149" s="17">
        <f>TablaOcurrencia_APMT_16sectores!I148</f>
        <v>1.8205763355932201</v>
      </c>
      <c r="G149" s="17">
        <f>TablaOcurrencia_APMT_16sectores!J148</f>
        <v>4.89161900902808</v>
      </c>
      <c r="H149" s="18">
        <f>TablaOcurrencia_APMT_16sectores!M148</f>
        <v>1.4741634122635404E-4</v>
      </c>
      <c r="I149" s="19">
        <f>TablaOcurrencia_APMT_16sectores!N148</f>
        <v>5.3806964547619227E-2</v>
      </c>
    </row>
    <row r="150" spans="1:9" ht="15.6" x14ac:dyDescent="0.3">
      <c r="A150" s="16" t="str">
        <f>TablaOcurrencia_APMT_16sectores!B149</f>
        <v>SSW</v>
      </c>
      <c r="B150" s="17">
        <f>0.5*(TablaOcurrencia_APMT_16sectores!C149+TablaOcurrencia_APMT_16sectores!D149)</f>
        <v>213.75</v>
      </c>
      <c r="C150" s="17">
        <f>0.5*(TablaOcurrencia_APMT_16sectores!E149+TablaOcurrencia_APMT_16sectores!F149)</f>
        <v>1.75</v>
      </c>
      <c r="D150" s="17">
        <f>0.5*(TablaOcurrencia_APMT_16sectores!G149+TablaOcurrencia_APMT_16sectores!H149)</f>
        <v>9</v>
      </c>
      <c r="E150" s="17">
        <f>TablaOcurrencia_APMT_16sectores!K149</f>
        <v>208.29824561403501</v>
      </c>
      <c r="F150" s="17">
        <f>TablaOcurrencia_APMT_16sectores!I149</f>
        <v>1.6264211192982401</v>
      </c>
      <c r="G150" s="17">
        <f>TablaOcurrencia_APMT_16sectores!J149</f>
        <v>9.7062708822089796</v>
      </c>
      <c r="H150" s="18">
        <f>TablaOcurrencia_APMT_16sectores!M149</f>
        <v>1.4241917711698611E-4</v>
      </c>
      <c r="I150" s="19">
        <f>TablaOcurrencia_APMT_16sectores!N149</f>
        <v>5.198299964769993E-2</v>
      </c>
    </row>
    <row r="151" spans="1:9" ht="15.6" x14ac:dyDescent="0.3">
      <c r="A151" s="16" t="str">
        <f>TablaOcurrencia_APMT_16sectores!B150</f>
        <v>SSW</v>
      </c>
      <c r="B151" s="17">
        <f>0.5*(TablaOcurrencia_APMT_16sectores!C150+TablaOcurrencia_APMT_16sectores!D150)</f>
        <v>213.75</v>
      </c>
      <c r="C151" s="17">
        <f>0.5*(TablaOcurrencia_APMT_16sectores!E150+TablaOcurrencia_APMT_16sectores!F150)</f>
        <v>4.75</v>
      </c>
      <c r="D151" s="17">
        <f>0.5*(TablaOcurrencia_APMT_16sectores!G150+TablaOcurrencia_APMT_16sectores!H150)</f>
        <v>17</v>
      </c>
      <c r="E151" s="17">
        <f>TablaOcurrencia_APMT_16sectores!K150</f>
        <v>207.614035087719</v>
      </c>
      <c r="F151" s="17">
        <f>TablaOcurrencia_APMT_16sectores!I150</f>
        <v>4.6162808508771898</v>
      </c>
      <c r="G151" s="17">
        <f>TablaOcurrencia_APMT_16sectores!J150</f>
        <v>17.493239584752398</v>
      </c>
      <c r="H151" s="18">
        <f>TablaOcurrencia_APMT_16sectores!M150</f>
        <v>1.4241917711698611E-4</v>
      </c>
      <c r="I151" s="19">
        <f>TablaOcurrencia_APMT_16sectores!N150</f>
        <v>5.198299964769993E-2</v>
      </c>
    </row>
    <row r="152" spans="1:9" ht="15.6" x14ac:dyDescent="0.3">
      <c r="A152" s="16" t="str">
        <f>TablaOcurrencia_APMT_16sectores!B151</f>
        <v>SSW</v>
      </c>
      <c r="B152" s="17">
        <f>0.5*(TablaOcurrencia_APMT_16sectores!C151+TablaOcurrencia_APMT_16sectores!D151)</f>
        <v>213.75</v>
      </c>
      <c r="C152" s="17">
        <f>0.5*(TablaOcurrencia_APMT_16sectores!E151+TablaOcurrencia_APMT_16sectores!F151)</f>
        <v>1.75</v>
      </c>
      <c r="D152" s="17">
        <f>0.5*(TablaOcurrencia_APMT_16sectores!G151+TablaOcurrencia_APMT_16sectores!H151)</f>
        <v>23</v>
      </c>
      <c r="E152" s="17">
        <f>TablaOcurrencia_APMT_16sectores!K151</f>
        <v>216.30357142857099</v>
      </c>
      <c r="F152" s="17">
        <f>TablaOcurrencia_APMT_16sectores!I151</f>
        <v>1.78842863392857</v>
      </c>
      <c r="G152" s="17">
        <f>TablaOcurrencia_APMT_16sectores!J151</f>
        <v>23.419738375111901</v>
      </c>
      <c r="H152" s="18">
        <f>TablaOcurrencia_APMT_16sectores!M151</f>
        <v>1.3992059506230214E-4</v>
      </c>
      <c r="I152" s="19">
        <f>TablaOcurrencia_APMT_16sectores!N151</f>
        <v>5.1071017197740286E-2</v>
      </c>
    </row>
    <row r="153" spans="1:9" ht="15.6" x14ac:dyDescent="0.3">
      <c r="A153" s="16" t="str">
        <f>TablaOcurrencia_APMT_16sectores!B152</f>
        <v>SSE</v>
      </c>
      <c r="B153" s="17">
        <f>0.5*(TablaOcurrencia_APMT_16sectores!C152+TablaOcurrencia_APMT_16sectores!D152)</f>
        <v>168.75</v>
      </c>
      <c r="C153" s="17">
        <f>0.5*(TablaOcurrencia_APMT_16sectores!E152+TablaOcurrencia_APMT_16sectores!F152)</f>
        <v>1.75</v>
      </c>
      <c r="D153" s="17">
        <f>0.5*(TablaOcurrencia_APMT_16sectores!G152+TablaOcurrencia_APMT_16sectores!H152)</f>
        <v>15</v>
      </c>
      <c r="E153" s="17">
        <f>TablaOcurrencia_APMT_16sectores!K152</f>
        <v>172.84</v>
      </c>
      <c r="F153" s="17">
        <f>TablaOcurrencia_APMT_16sectores!I152</f>
        <v>1.6968800799999999</v>
      </c>
      <c r="G153" s="17">
        <f>TablaOcurrencia_APMT_16sectores!J152</f>
        <v>15.764498922375299</v>
      </c>
      <c r="H153" s="18">
        <f>TablaOcurrencia_APMT_16sectores!M152</f>
        <v>1.2492910273419834E-4</v>
      </c>
      <c r="I153" s="19">
        <f>TablaOcurrencia_APMT_16sectores!N152</f>
        <v>4.5599122497982397E-2</v>
      </c>
    </row>
    <row r="154" spans="1:9" ht="15.6" x14ac:dyDescent="0.3">
      <c r="A154" s="16" t="str">
        <f>TablaOcurrencia_APMT_16sectores!B153</f>
        <v>SSW</v>
      </c>
      <c r="B154" s="17">
        <f>0.5*(TablaOcurrencia_APMT_16sectores!C153+TablaOcurrencia_APMT_16sectores!D153)</f>
        <v>213.75</v>
      </c>
      <c r="C154" s="17">
        <f>0.5*(TablaOcurrencia_APMT_16sectores!E153+TablaOcurrencia_APMT_16sectores!F153)</f>
        <v>4.25</v>
      </c>
      <c r="D154" s="17">
        <f>0.5*(TablaOcurrencia_APMT_16sectores!G153+TablaOcurrencia_APMT_16sectores!H153)</f>
        <v>15</v>
      </c>
      <c r="E154" s="17">
        <f>TablaOcurrencia_APMT_16sectores!K153</f>
        <v>206.44680851063799</v>
      </c>
      <c r="F154" s="17">
        <f>TablaOcurrencia_APMT_16sectores!I153</f>
        <v>4.1000001574468001</v>
      </c>
      <c r="G154" s="17">
        <f>TablaOcurrencia_APMT_16sectores!J153</f>
        <v>15.4718862555911</v>
      </c>
      <c r="H154" s="18">
        <f>TablaOcurrencia_APMT_16sectores!M153</f>
        <v>1.1743335657014644E-4</v>
      </c>
      <c r="I154" s="19">
        <f>TablaOcurrencia_APMT_16sectores!N153</f>
        <v>4.286317514810345E-2</v>
      </c>
    </row>
    <row r="155" spans="1:9" ht="15.6" x14ac:dyDescent="0.3">
      <c r="A155" s="16" t="str">
        <f>TablaOcurrencia_APMT_16sectores!B154</f>
        <v>SW</v>
      </c>
      <c r="B155" s="17">
        <f>0.5*(TablaOcurrencia_APMT_16sectores!C154+TablaOcurrencia_APMT_16sectores!D154)</f>
        <v>236.25</v>
      </c>
      <c r="C155" s="17">
        <f>0.5*(TablaOcurrencia_APMT_16sectores!E154+TablaOcurrencia_APMT_16sectores!F154)</f>
        <v>2.25</v>
      </c>
      <c r="D155" s="17">
        <f>0.5*(TablaOcurrencia_APMT_16sectores!G154+TablaOcurrencia_APMT_16sectores!H154)</f>
        <v>21</v>
      </c>
      <c r="E155" s="17">
        <f>TablaOcurrencia_APMT_16sectores!K154</f>
        <v>228.191489361702</v>
      </c>
      <c r="F155" s="17">
        <f>TablaOcurrencia_APMT_16sectores!I154</f>
        <v>2.2695745234042501</v>
      </c>
      <c r="G155" s="17">
        <f>TablaOcurrencia_APMT_16sectores!J154</f>
        <v>21.0726250755134</v>
      </c>
      <c r="H155" s="18">
        <f>TablaOcurrencia_APMT_16sectores!M154</f>
        <v>1.1743335657014644E-4</v>
      </c>
      <c r="I155" s="19">
        <f>TablaOcurrencia_APMT_16sectores!N154</f>
        <v>4.286317514810345E-2</v>
      </c>
    </row>
    <row r="156" spans="1:9" ht="15.6" x14ac:dyDescent="0.3">
      <c r="A156" s="16" t="str">
        <f>TablaOcurrencia_APMT_16sectores!B155</f>
        <v>WSW</v>
      </c>
      <c r="B156" s="17">
        <f>0.5*(TablaOcurrencia_APMT_16sectores!C155+TablaOcurrencia_APMT_16sectores!D155)</f>
        <v>258.75</v>
      </c>
      <c r="C156" s="17">
        <f>0.5*(TablaOcurrencia_APMT_16sectores!E155+TablaOcurrencia_APMT_16sectores!F155)</f>
        <v>1.25</v>
      </c>
      <c r="D156" s="17">
        <f>0.5*(TablaOcurrencia_APMT_16sectores!G155+TablaOcurrencia_APMT_16sectores!H155)</f>
        <v>17</v>
      </c>
      <c r="E156" s="17">
        <f>TablaOcurrencia_APMT_16sectores!K155</f>
        <v>259.89361702127599</v>
      </c>
      <c r="F156" s="17">
        <f>TablaOcurrencia_APMT_16sectores!I155</f>
        <v>1.3828936787234001</v>
      </c>
      <c r="G156" s="17">
        <f>TablaOcurrencia_APMT_16sectores!J155</f>
        <v>16.630177502684798</v>
      </c>
      <c r="H156" s="18">
        <f>TablaOcurrencia_APMT_16sectores!M155</f>
        <v>1.1743335657014644E-4</v>
      </c>
      <c r="I156" s="19">
        <f>TablaOcurrencia_APMT_16sectores!N155</f>
        <v>4.286317514810345E-2</v>
      </c>
    </row>
    <row r="157" spans="1:9" ht="15.6" x14ac:dyDescent="0.3">
      <c r="A157" s="16" t="str">
        <f>TablaOcurrencia_APMT_16sectores!B156</f>
        <v>WNW</v>
      </c>
      <c r="B157" s="17">
        <f>0.5*(TablaOcurrencia_APMT_16sectores!C156+TablaOcurrencia_APMT_16sectores!D156)</f>
        <v>303.75</v>
      </c>
      <c r="C157" s="17">
        <f>0.5*(TablaOcurrencia_APMT_16sectores!E156+TablaOcurrencia_APMT_16sectores!F156)</f>
        <v>2.75</v>
      </c>
      <c r="D157" s="17">
        <f>0.5*(TablaOcurrencia_APMT_16sectores!G156+TablaOcurrencia_APMT_16sectores!H156)</f>
        <v>19</v>
      </c>
      <c r="E157" s="17">
        <f>TablaOcurrencia_APMT_16sectores!K156</f>
        <v>301.71739130434702</v>
      </c>
      <c r="F157" s="17">
        <f>TablaOcurrencia_APMT_16sectores!I156</f>
        <v>2.6182174826086899</v>
      </c>
      <c r="G157" s="17">
        <f>TablaOcurrencia_APMT_16sectores!J156</f>
        <v>19.251099733927301</v>
      </c>
      <c r="H157" s="18">
        <f>TablaOcurrencia_APMT_16sectores!M156</f>
        <v>1.1493477451546247E-4</v>
      </c>
      <c r="I157" s="19">
        <f>TablaOcurrencia_APMT_16sectores!N156</f>
        <v>4.1951192698143805E-2</v>
      </c>
    </row>
    <row r="158" spans="1:9" ht="15.6" x14ac:dyDescent="0.3">
      <c r="A158" s="16" t="str">
        <f>TablaOcurrencia_APMT_16sectores!B157</f>
        <v>SSE</v>
      </c>
      <c r="B158" s="17">
        <f>0.5*(TablaOcurrencia_APMT_16sectores!C157+TablaOcurrencia_APMT_16sectores!D157)</f>
        <v>168.75</v>
      </c>
      <c r="C158" s="17">
        <f>0.5*(TablaOcurrencia_APMT_16sectores!E157+TablaOcurrencia_APMT_16sectores!F157)</f>
        <v>2.75</v>
      </c>
      <c r="D158" s="17">
        <f>0.5*(TablaOcurrencia_APMT_16sectores!G157+TablaOcurrencia_APMT_16sectores!H157)</f>
        <v>11</v>
      </c>
      <c r="E158" s="17">
        <f>TablaOcurrencia_APMT_16sectores!K157</f>
        <v>179.35555555555499</v>
      </c>
      <c r="F158" s="17">
        <f>TablaOcurrencia_APMT_16sectores!I157</f>
        <v>2.67786675555555</v>
      </c>
      <c r="G158" s="17">
        <f>TablaOcurrencia_APMT_16sectores!J157</f>
        <v>10.5297150985154</v>
      </c>
      <c r="H158" s="18">
        <f>TablaOcurrencia_APMT_16sectores!M157</f>
        <v>1.1243619246077851E-4</v>
      </c>
      <c r="I158" s="19">
        <f>TablaOcurrencia_APMT_16sectores!N157</f>
        <v>4.1039210248184153E-2</v>
      </c>
    </row>
    <row r="159" spans="1:9" ht="15.6" x14ac:dyDescent="0.3">
      <c r="A159" s="16" t="str">
        <f>TablaOcurrencia_APMT_16sectores!B158</f>
        <v>SSE</v>
      </c>
      <c r="B159" s="17">
        <f>0.5*(TablaOcurrencia_APMT_16sectores!C158+TablaOcurrencia_APMT_16sectores!D158)</f>
        <v>168.75</v>
      </c>
      <c r="C159" s="17">
        <f>0.5*(TablaOcurrencia_APMT_16sectores!E158+TablaOcurrencia_APMT_16sectores!F158)</f>
        <v>1.25</v>
      </c>
      <c r="D159" s="17">
        <f>0.5*(TablaOcurrencia_APMT_16sectores!G158+TablaOcurrencia_APMT_16sectores!H158)</f>
        <v>13</v>
      </c>
      <c r="E159" s="17">
        <f>TablaOcurrencia_APMT_16sectores!K158</f>
        <v>171.809523809523</v>
      </c>
      <c r="F159" s="17">
        <f>TablaOcurrencia_APMT_16sectores!I158</f>
        <v>1.30923814761904</v>
      </c>
      <c r="G159" s="17">
        <f>TablaOcurrencia_APMT_16sectores!J158</f>
        <v>13.1570833439241</v>
      </c>
      <c r="H159" s="18">
        <f>TablaOcurrencia_APMT_16sectores!M158</f>
        <v>1.0494044629672661E-4</v>
      </c>
      <c r="I159" s="19">
        <f>TablaOcurrencia_APMT_16sectores!N158</f>
        <v>3.8303262898305213E-2</v>
      </c>
    </row>
    <row r="160" spans="1:9" ht="15.6" x14ac:dyDescent="0.3">
      <c r="A160" s="16" t="str">
        <f>TablaOcurrencia_APMT_16sectores!B159</f>
        <v>SSW</v>
      </c>
      <c r="B160" s="17">
        <f>0.5*(TablaOcurrencia_APMT_16sectores!C159+TablaOcurrencia_APMT_16sectores!D159)</f>
        <v>213.75</v>
      </c>
      <c r="C160" s="17">
        <f>0.5*(TablaOcurrencia_APMT_16sectores!E159+TablaOcurrencia_APMT_16sectores!F159)</f>
        <v>2.25</v>
      </c>
      <c r="D160" s="17">
        <f>0.5*(TablaOcurrencia_APMT_16sectores!G159+TablaOcurrencia_APMT_16sectores!H159)</f>
        <v>23</v>
      </c>
      <c r="E160" s="17">
        <f>TablaOcurrencia_APMT_16sectores!K159</f>
        <v>215.07142857142799</v>
      </c>
      <c r="F160" s="17">
        <f>TablaOcurrencia_APMT_16sectores!I159</f>
        <v>2.1867143642857099</v>
      </c>
      <c r="G160" s="17">
        <f>TablaOcurrencia_APMT_16sectores!J159</f>
        <v>23.129010831182502</v>
      </c>
      <c r="H160" s="18">
        <f>TablaOcurrencia_APMT_16sectores!M159</f>
        <v>1.0494044629672661E-4</v>
      </c>
      <c r="I160" s="19">
        <f>TablaOcurrencia_APMT_16sectores!N159</f>
        <v>3.8303262898305213E-2</v>
      </c>
    </row>
    <row r="161" spans="1:9" ht="15.6" x14ac:dyDescent="0.3">
      <c r="A161" s="16" t="str">
        <f>TablaOcurrencia_APMT_16sectores!B160</f>
        <v>SW</v>
      </c>
      <c r="B161" s="17">
        <f>0.5*(TablaOcurrencia_APMT_16sectores!C160+TablaOcurrencia_APMT_16sectores!D160)</f>
        <v>236.25</v>
      </c>
      <c r="C161" s="17">
        <f>0.5*(TablaOcurrencia_APMT_16sectores!E160+TablaOcurrencia_APMT_16sectores!F160)</f>
        <v>2.25</v>
      </c>
      <c r="D161" s="17">
        <f>0.5*(TablaOcurrencia_APMT_16sectores!G160+TablaOcurrencia_APMT_16sectores!H160)</f>
        <v>11</v>
      </c>
      <c r="E161" s="17">
        <f>TablaOcurrencia_APMT_16sectores!K160</f>
        <v>229.40476190476099</v>
      </c>
      <c r="F161" s="17">
        <f>TablaOcurrencia_APMT_16sectores!I160</f>
        <v>2.1246667452380898</v>
      </c>
      <c r="G161" s="17">
        <f>TablaOcurrencia_APMT_16sectores!J160</f>
        <v>11.536186431369901</v>
      </c>
      <c r="H161" s="18">
        <f>TablaOcurrencia_APMT_16sectores!M160</f>
        <v>1.0494044629672661E-4</v>
      </c>
      <c r="I161" s="19">
        <f>TablaOcurrencia_APMT_16sectores!N160</f>
        <v>3.8303262898305213E-2</v>
      </c>
    </row>
    <row r="162" spans="1:9" ht="15.6" x14ac:dyDescent="0.3">
      <c r="A162" s="16" t="str">
        <f>TablaOcurrencia_APMT_16sectores!B161</f>
        <v>SSW</v>
      </c>
      <c r="B162" s="17">
        <f>0.5*(TablaOcurrencia_APMT_16sectores!C161+TablaOcurrencia_APMT_16sectores!D161)</f>
        <v>213.75</v>
      </c>
      <c r="C162" s="17">
        <f>0.5*(TablaOcurrencia_APMT_16sectores!E161+TablaOcurrencia_APMT_16sectores!F161)</f>
        <v>2.25</v>
      </c>
      <c r="D162" s="17">
        <f>0.5*(TablaOcurrencia_APMT_16sectores!G161+TablaOcurrencia_APMT_16sectores!H161)</f>
        <v>5</v>
      </c>
      <c r="E162" s="17">
        <f>TablaOcurrencia_APMT_16sectores!K161</f>
        <v>210.58974358974299</v>
      </c>
      <c r="F162" s="17">
        <f>TablaOcurrencia_APMT_16sectores!I161</f>
        <v>2.1535898282051198</v>
      </c>
      <c r="G162" s="17">
        <f>TablaOcurrencia_APMT_16sectores!J161</f>
        <v>5.0393667578440304</v>
      </c>
      <c r="H162" s="18">
        <f>TablaOcurrencia_APMT_16sectores!M161</f>
        <v>9.7444700132674706E-5</v>
      </c>
      <c r="I162" s="19">
        <f>TablaOcurrencia_APMT_16sectores!N161</f>
        <v>3.5567315548426265E-2</v>
      </c>
    </row>
    <row r="163" spans="1:9" ht="15.6" x14ac:dyDescent="0.3">
      <c r="A163" s="16" t="str">
        <f>TablaOcurrencia_APMT_16sectores!B162</f>
        <v>SSW</v>
      </c>
      <c r="B163" s="17">
        <f>0.5*(TablaOcurrencia_APMT_16sectores!C162+TablaOcurrencia_APMT_16sectores!D162)</f>
        <v>213.75</v>
      </c>
      <c r="C163" s="17">
        <f>0.5*(TablaOcurrencia_APMT_16sectores!E162+TablaOcurrencia_APMT_16sectores!F162)</f>
        <v>2.75</v>
      </c>
      <c r="D163" s="17">
        <f>0.5*(TablaOcurrencia_APMT_16sectores!G162+TablaOcurrencia_APMT_16sectores!H162)</f>
        <v>23</v>
      </c>
      <c r="E163" s="17">
        <f>TablaOcurrencia_APMT_16sectores!K162</f>
        <v>214.63157894736801</v>
      </c>
      <c r="F163" s="17">
        <f>TablaOcurrencia_APMT_16sectores!I162</f>
        <v>2.7302632526315702</v>
      </c>
      <c r="G163" s="17">
        <f>TablaOcurrencia_APMT_16sectores!J162</f>
        <v>23.138359201526001</v>
      </c>
      <c r="H163" s="18">
        <f>TablaOcurrencia_APMT_16sectores!M162</f>
        <v>9.494611807799074E-5</v>
      </c>
      <c r="I163" s="19">
        <f>TablaOcurrencia_APMT_16sectores!N162</f>
        <v>3.465533309846662E-2</v>
      </c>
    </row>
    <row r="164" spans="1:9" ht="15.6" x14ac:dyDescent="0.3">
      <c r="A164" s="16" t="str">
        <f>TablaOcurrencia_APMT_16sectores!B163</f>
        <v>SW</v>
      </c>
      <c r="B164" s="17">
        <f>0.5*(TablaOcurrencia_APMT_16sectores!C163+TablaOcurrencia_APMT_16sectores!D163)</f>
        <v>236.25</v>
      </c>
      <c r="C164" s="17">
        <f>0.5*(TablaOcurrencia_APMT_16sectores!E163+TablaOcurrencia_APMT_16sectores!F163)</f>
        <v>1.75</v>
      </c>
      <c r="D164" s="17">
        <f>0.5*(TablaOcurrencia_APMT_16sectores!G163+TablaOcurrencia_APMT_16sectores!H163)</f>
        <v>21</v>
      </c>
      <c r="E164" s="17">
        <f>TablaOcurrencia_APMT_16sectores!K163</f>
        <v>228.157894736842</v>
      </c>
      <c r="F164" s="17">
        <f>TablaOcurrencia_APMT_16sectores!I163</f>
        <v>1.87110534736842</v>
      </c>
      <c r="G164" s="17">
        <f>TablaOcurrencia_APMT_16sectores!J163</f>
        <v>21.116620371660598</v>
      </c>
      <c r="H164" s="18">
        <f>TablaOcurrencia_APMT_16sectores!M163</f>
        <v>9.494611807799074E-5</v>
      </c>
      <c r="I164" s="19">
        <f>TablaOcurrencia_APMT_16sectores!N163</f>
        <v>3.465533309846662E-2</v>
      </c>
    </row>
    <row r="165" spans="1:9" ht="15.6" x14ac:dyDescent="0.3">
      <c r="A165" s="16" t="str">
        <f>TablaOcurrencia_APMT_16sectores!B164</f>
        <v>SSE</v>
      </c>
      <c r="B165" s="17">
        <f>0.5*(TablaOcurrencia_APMT_16sectores!C164+TablaOcurrencia_APMT_16sectores!D164)</f>
        <v>168.75</v>
      </c>
      <c r="C165" s="17">
        <f>0.5*(TablaOcurrencia_APMT_16sectores!E164+TablaOcurrencia_APMT_16sectores!F164)</f>
        <v>0.75</v>
      </c>
      <c r="D165" s="17">
        <f>0.5*(TablaOcurrencia_APMT_16sectores!G164+TablaOcurrencia_APMT_16sectores!H164)</f>
        <v>5</v>
      </c>
      <c r="E165" s="17">
        <f>TablaOcurrencia_APMT_16sectores!K164</f>
        <v>172.27027027027</v>
      </c>
      <c r="F165" s="17">
        <f>TablaOcurrencia_APMT_16sectores!I164</f>
        <v>0.74778381810810801</v>
      </c>
      <c r="G165" s="17">
        <f>TablaOcurrencia_APMT_16sectores!J164</f>
        <v>4.9416902713283504</v>
      </c>
      <c r="H165" s="18">
        <f>TablaOcurrencia_APMT_16sectores!M164</f>
        <v>9.2447536023306773E-5</v>
      </c>
      <c r="I165" s="19">
        <f>TablaOcurrencia_APMT_16sectores!N164</f>
        <v>3.3743350648506976E-2</v>
      </c>
    </row>
    <row r="166" spans="1:9" ht="15.6" x14ac:dyDescent="0.3">
      <c r="A166" s="16" t="str">
        <f>TablaOcurrencia_APMT_16sectores!B165</f>
        <v>S</v>
      </c>
      <c r="B166" s="17">
        <f>0.5*(TablaOcurrencia_APMT_16sectores!C165+TablaOcurrencia_APMT_16sectores!D165)</f>
        <v>191.25</v>
      </c>
      <c r="C166" s="17">
        <f>0.5*(TablaOcurrencia_APMT_16sectores!E165+TablaOcurrencia_APMT_16sectores!F165)</f>
        <v>3.25</v>
      </c>
      <c r="D166" s="17">
        <f>0.5*(TablaOcurrencia_APMT_16sectores!G165+TablaOcurrencia_APMT_16sectores!H165)</f>
        <v>21</v>
      </c>
      <c r="E166" s="17">
        <f>TablaOcurrencia_APMT_16sectores!K165</f>
        <v>198.444444444444</v>
      </c>
      <c r="F166" s="17">
        <f>TablaOcurrencia_APMT_16sectores!I165</f>
        <v>3.1261667833333302</v>
      </c>
      <c r="G166" s="17">
        <f>TablaOcurrencia_APMT_16sectores!J165</f>
        <v>20.912300931881099</v>
      </c>
      <c r="H166" s="18">
        <f>TablaOcurrencia_APMT_16sectores!M165</f>
        <v>8.9948953968622806E-5</v>
      </c>
      <c r="I166" s="19">
        <f>TablaOcurrencia_APMT_16sectores!N165</f>
        <v>3.2831368198547324E-2</v>
      </c>
    </row>
    <row r="167" spans="1:9" ht="15.6" x14ac:dyDescent="0.3">
      <c r="A167" s="16" t="str">
        <f>TablaOcurrencia_APMT_16sectores!B166</f>
        <v>S</v>
      </c>
      <c r="B167" s="17">
        <f>0.5*(TablaOcurrencia_APMT_16sectores!C166+TablaOcurrencia_APMT_16sectores!D166)</f>
        <v>191.25</v>
      </c>
      <c r="C167" s="17">
        <f>0.5*(TablaOcurrencia_APMT_16sectores!E166+TablaOcurrencia_APMT_16sectores!F166)</f>
        <v>0.75</v>
      </c>
      <c r="D167" s="17">
        <f>0.5*(TablaOcurrencia_APMT_16sectores!G166+TablaOcurrencia_APMT_16sectores!H166)</f>
        <v>7</v>
      </c>
      <c r="E167" s="17">
        <f>TablaOcurrencia_APMT_16sectores!K166</f>
        <v>191.46875</v>
      </c>
      <c r="F167" s="17">
        <f>TablaOcurrencia_APMT_16sectores!I166</f>
        <v>0.6235625253125</v>
      </c>
      <c r="G167" s="17">
        <f>TablaOcurrencia_APMT_16sectores!J166</f>
        <v>6.2864688837821303</v>
      </c>
      <c r="H167" s="18">
        <f>TablaOcurrencia_APMT_16sectores!M166</f>
        <v>7.9954625749886939E-5</v>
      </c>
      <c r="I167" s="19">
        <f>TablaOcurrencia_APMT_16sectores!N166</f>
        <v>2.9183438398708732E-2</v>
      </c>
    </row>
    <row r="168" spans="1:9" ht="15.6" x14ac:dyDescent="0.3">
      <c r="A168" s="16" t="str">
        <f>TablaOcurrencia_APMT_16sectores!B167</f>
        <v>S</v>
      </c>
      <c r="B168" s="17">
        <f>0.5*(TablaOcurrencia_APMT_16sectores!C167+TablaOcurrencia_APMT_16sectores!D167)</f>
        <v>191.25</v>
      </c>
      <c r="C168" s="17">
        <f>0.5*(TablaOcurrencia_APMT_16sectores!E167+TablaOcurrencia_APMT_16sectores!F167)</f>
        <v>1.75</v>
      </c>
      <c r="D168" s="17">
        <f>0.5*(TablaOcurrencia_APMT_16sectores!G167+TablaOcurrencia_APMT_16sectores!H167)</f>
        <v>21</v>
      </c>
      <c r="E168" s="17">
        <f>TablaOcurrencia_APMT_16sectores!K167</f>
        <v>198.15625</v>
      </c>
      <c r="F168" s="17">
        <f>TablaOcurrencia_APMT_16sectores!I167</f>
        <v>1.7850000749999999</v>
      </c>
      <c r="G168" s="17">
        <f>TablaOcurrencia_APMT_16sectores!J167</f>
        <v>21.127161040279201</v>
      </c>
      <c r="H168" s="18">
        <f>TablaOcurrencia_APMT_16sectores!M167</f>
        <v>7.9954625749886939E-5</v>
      </c>
      <c r="I168" s="19">
        <f>TablaOcurrencia_APMT_16sectores!N167</f>
        <v>2.9183438398708732E-2</v>
      </c>
    </row>
    <row r="169" spans="1:9" ht="15.6" x14ac:dyDescent="0.3">
      <c r="A169" s="16" t="str">
        <f>TablaOcurrencia_APMT_16sectores!B168</f>
        <v>S</v>
      </c>
      <c r="B169" s="17">
        <f>0.5*(TablaOcurrencia_APMT_16sectores!C168+TablaOcurrencia_APMT_16sectores!D168)</f>
        <v>191.25</v>
      </c>
      <c r="C169" s="17">
        <f>0.5*(TablaOcurrencia_APMT_16sectores!E168+TablaOcurrencia_APMT_16sectores!F168)</f>
        <v>4.25</v>
      </c>
      <c r="D169" s="17">
        <f>0.5*(TablaOcurrencia_APMT_16sectores!G168+TablaOcurrencia_APMT_16sectores!H168)</f>
        <v>9</v>
      </c>
      <c r="E169" s="17">
        <f>TablaOcurrencia_APMT_16sectores!K168</f>
        <v>183.322580645161</v>
      </c>
      <c r="F169" s="17">
        <f>TablaOcurrencia_APMT_16sectores!I168</f>
        <v>4.0989678709677397</v>
      </c>
      <c r="G169" s="17">
        <f>TablaOcurrencia_APMT_16sectores!J168</f>
        <v>9.7036754871729194</v>
      </c>
      <c r="H169" s="18">
        <f>TablaOcurrencia_APMT_16sectores!M168</f>
        <v>7.7456043695202972E-5</v>
      </c>
      <c r="I169" s="19">
        <f>TablaOcurrencia_APMT_16sectores!N168</f>
        <v>2.8271455948749084E-2</v>
      </c>
    </row>
    <row r="170" spans="1:9" ht="15.6" x14ac:dyDescent="0.3">
      <c r="A170" s="16" t="str">
        <f>TablaOcurrencia_APMT_16sectores!B169</f>
        <v>W</v>
      </c>
      <c r="B170" s="17">
        <f>0.5*(TablaOcurrencia_APMT_16sectores!C169+TablaOcurrencia_APMT_16sectores!D169)</f>
        <v>281.25</v>
      </c>
      <c r="C170" s="17">
        <f>0.5*(TablaOcurrencia_APMT_16sectores!E169+TablaOcurrencia_APMT_16sectores!F169)</f>
        <v>2.75</v>
      </c>
      <c r="D170" s="17">
        <f>0.5*(TablaOcurrencia_APMT_16sectores!G169+TablaOcurrencia_APMT_16sectores!H169)</f>
        <v>17</v>
      </c>
      <c r="E170" s="17">
        <f>TablaOcurrencia_APMT_16sectores!K169</f>
        <v>283.38709677419303</v>
      </c>
      <c r="F170" s="17">
        <f>TablaOcurrencia_APMT_16sectores!I169</f>
        <v>2.6638065516128999</v>
      </c>
      <c r="G170" s="17">
        <f>TablaOcurrencia_APMT_16sectores!J169</f>
        <v>17.349506340416202</v>
      </c>
      <c r="H170" s="18">
        <f>TablaOcurrencia_APMT_16sectores!M169</f>
        <v>7.7456043695202972E-5</v>
      </c>
      <c r="I170" s="19">
        <f>TablaOcurrencia_APMT_16sectores!N169</f>
        <v>2.8271455948749084E-2</v>
      </c>
    </row>
    <row r="171" spans="1:9" ht="15.6" x14ac:dyDescent="0.3">
      <c r="A171" s="16" t="str">
        <f>TablaOcurrencia_APMT_16sectores!B170</f>
        <v>SSW</v>
      </c>
      <c r="B171" s="17">
        <f>0.5*(TablaOcurrencia_APMT_16sectores!C170+TablaOcurrencia_APMT_16sectores!D170)</f>
        <v>213.75</v>
      </c>
      <c r="C171" s="17">
        <f>0.5*(TablaOcurrencia_APMT_16sectores!E170+TablaOcurrencia_APMT_16sectores!F170)</f>
        <v>3.75</v>
      </c>
      <c r="D171" s="17">
        <f>0.5*(TablaOcurrencia_APMT_16sectores!G170+TablaOcurrencia_APMT_16sectores!H170)</f>
        <v>21</v>
      </c>
      <c r="E171" s="17">
        <f>TablaOcurrencia_APMT_16sectores!K170</f>
        <v>213.03448275861999</v>
      </c>
      <c r="F171" s="17">
        <f>TablaOcurrencia_APMT_16sectores!I170</f>
        <v>3.6942070758620602</v>
      </c>
      <c r="G171" s="17">
        <f>TablaOcurrencia_APMT_16sectores!J170</f>
        <v>20.988718005538502</v>
      </c>
      <c r="H171" s="18">
        <f>TablaOcurrencia_APMT_16sectores!M170</f>
        <v>7.2458879585835038E-5</v>
      </c>
      <c r="I171" s="19">
        <f>TablaOcurrencia_APMT_16sectores!N170</f>
        <v>2.6447491048829787E-2</v>
      </c>
    </row>
    <row r="172" spans="1:9" ht="15.6" x14ac:dyDescent="0.3">
      <c r="A172" s="16" t="str">
        <f>TablaOcurrencia_APMT_16sectores!B171</f>
        <v>SW</v>
      </c>
      <c r="B172" s="17">
        <f>0.5*(TablaOcurrencia_APMT_16sectores!C171+TablaOcurrencia_APMT_16sectores!D171)</f>
        <v>236.25</v>
      </c>
      <c r="C172" s="17">
        <f>0.5*(TablaOcurrencia_APMT_16sectores!E171+TablaOcurrencia_APMT_16sectores!F171)</f>
        <v>3.25</v>
      </c>
      <c r="D172" s="17">
        <f>0.5*(TablaOcurrencia_APMT_16sectores!G171+TablaOcurrencia_APMT_16sectores!H171)</f>
        <v>19</v>
      </c>
      <c r="E172" s="17">
        <f>TablaOcurrencia_APMT_16sectores!K171</f>
        <v>232.068965517241</v>
      </c>
      <c r="F172" s="17">
        <f>TablaOcurrencia_APMT_16sectores!I171</f>
        <v>3.15206908275862</v>
      </c>
      <c r="G172" s="17">
        <f>TablaOcurrencia_APMT_16sectores!J171</f>
        <v>19.224039808063999</v>
      </c>
      <c r="H172" s="18">
        <f>TablaOcurrencia_APMT_16sectores!M171</f>
        <v>7.2458879585835038E-5</v>
      </c>
      <c r="I172" s="19">
        <f>TablaOcurrencia_APMT_16sectores!N171</f>
        <v>2.6447491048829787E-2</v>
      </c>
    </row>
    <row r="173" spans="1:9" ht="15.6" x14ac:dyDescent="0.3">
      <c r="A173" s="16" t="str">
        <f>TablaOcurrencia_APMT_16sectores!B172</f>
        <v>SSW</v>
      </c>
      <c r="B173" s="17">
        <f>0.5*(TablaOcurrencia_APMT_16sectores!C172+TablaOcurrencia_APMT_16sectores!D172)</f>
        <v>213.75</v>
      </c>
      <c r="C173" s="17">
        <f>0.5*(TablaOcurrencia_APMT_16sectores!E172+TablaOcurrencia_APMT_16sectores!F172)</f>
        <v>1.25</v>
      </c>
      <c r="D173" s="17">
        <f>0.5*(TablaOcurrencia_APMT_16sectores!G172+TablaOcurrencia_APMT_16sectores!H172)</f>
        <v>21</v>
      </c>
      <c r="E173" s="17">
        <f>TablaOcurrencia_APMT_16sectores!K172</f>
        <v>219.30769230769201</v>
      </c>
      <c r="F173" s="17">
        <f>TablaOcurrencia_APMT_16sectores!I172</f>
        <v>1.36184621538461</v>
      </c>
      <c r="G173" s="17">
        <f>TablaOcurrencia_APMT_16sectores!J172</f>
        <v>21.2090964864732</v>
      </c>
      <c r="H173" s="18">
        <f>TablaOcurrencia_APMT_16sectores!M172</f>
        <v>6.4963133421783138E-5</v>
      </c>
      <c r="I173" s="19">
        <f>TablaOcurrencia_APMT_16sectores!N172</f>
        <v>2.3711543698950847E-2</v>
      </c>
    </row>
    <row r="174" spans="1:9" ht="15.6" x14ac:dyDescent="0.3">
      <c r="A174" s="16" t="str">
        <f>TablaOcurrencia_APMT_16sectores!B173</f>
        <v>SSE</v>
      </c>
      <c r="B174" s="17">
        <f>0.5*(TablaOcurrencia_APMT_16sectores!C173+TablaOcurrencia_APMT_16sectores!D173)</f>
        <v>168.75</v>
      </c>
      <c r="C174" s="17">
        <f>0.5*(TablaOcurrencia_APMT_16sectores!E173+TablaOcurrencia_APMT_16sectores!F173)</f>
        <v>3.25</v>
      </c>
      <c r="D174" s="17">
        <f>0.5*(TablaOcurrencia_APMT_16sectores!G173+TablaOcurrencia_APMT_16sectores!H173)</f>
        <v>11</v>
      </c>
      <c r="E174" s="17">
        <f>TablaOcurrencia_APMT_16sectores!K173</f>
        <v>179.12</v>
      </c>
      <c r="F174" s="17">
        <f>TablaOcurrencia_APMT_16sectores!I173</f>
        <v>3.2836801320000002</v>
      </c>
      <c r="G174" s="17">
        <f>TablaOcurrencia_APMT_16sectores!J173</f>
        <v>10.1800239712229</v>
      </c>
      <c r="H174" s="18">
        <f>TablaOcurrencia_APMT_16sectores!M173</f>
        <v>6.2464551367099171E-5</v>
      </c>
      <c r="I174" s="19">
        <f>TablaOcurrencia_APMT_16sectores!N173</f>
        <v>2.2799561248991199E-2</v>
      </c>
    </row>
    <row r="175" spans="1:9" ht="15.6" x14ac:dyDescent="0.3">
      <c r="A175" s="16" t="str">
        <f>TablaOcurrencia_APMT_16sectores!B174</f>
        <v>SW</v>
      </c>
      <c r="B175" s="17">
        <f>0.5*(TablaOcurrencia_APMT_16sectores!C174+TablaOcurrencia_APMT_16sectores!D174)</f>
        <v>236.25</v>
      </c>
      <c r="C175" s="17">
        <f>0.5*(TablaOcurrencia_APMT_16sectores!E174+TablaOcurrencia_APMT_16sectores!F174)</f>
        <v>1.25</v>
      </c>
      <c r="D175" s="17">
        <f>0.5*(TablaOcurrencia_APMT_16sectores!G174+TablaOcurrencia_APMT_16sectores!H174)</f>
        <v>19</v>
      </c>
      <c r="E175" s="17">
        <f>TablaOcurrencia_APMT_16sectores!K174</f>
        <v>234.88</v>
      </c>
      <c r="F175" s="17">
        <f>TablaOcurrencia_APMT_16sectores!I174</f>
        <v>1.3688800400000001</v>
      </c>
      <c r="G175" s="17">
        <f>TablaOcurrencia_APMT_16sectores!J174</f>
        <v>19.2675161272333</v>
      </c>
      <c r="H175" s="18">
        <f>TablaOcurrencia_APMT_16sectores!M174</f>
        <v>6.2464551367099171E-5</v>
      </c>
      <c r="I175" s="19">
        <f>TablaOcurrencia_APMT_16sectores!N174</f>
        <v>2.2799561248991199E-2</v>
      </c>
    </row>
    <row r="176" spans="1:9" ht="15.6" x14ac:dyDescent="0.3">
      <c r="A176" s="16" t="str">
        <f>TablaOcurrencia_APMT_16sectores!B175</f>
        <v>S</v>
      </c>
      <c r="B176" s="17">
        <f>0.5*(TablaOcurrencia_APMT_16sectores!C175+TablaOcurrencia_APMT_16sectores!D175)</f>
        <v>191.25</v>
      </c>
      <c r="C176" s="17">
        <f>0.5*(TablaOcurrencia_APMT_16sectores!E175+TablaOcurrencia_APMT_16sectores!F175)</f>
        <v>4.75</v>
      </c>
      <c r="D176" s="17">
        <f>0.5*(TablaOcurrencia_APMT_16sectores!G175+TablaOcurrencia_APMT_16sectores!H175)</f>
        <v>15</v>
      </c>
      <c r="E176" s="17">
        <f>TablaOcurrencia_APMT_16sectores!K175</f>
        <v>199.75</v>
      </c>
      <c r="F176" s="17">
        <f>TablaOcurrencia_APMT_16sectores!I175</f>
        <v>4.7130834708333298</v>
      </c>
      <c r="G176" s="17">
        <f>TablaOcurrencia_APMT_16sectores!J175</f>
        <v>15.323374514889</v>
      </c>
      <c r="H176" s="18">
        <f>TablaOcurrencia_APMT_16sectores!M175</f>
        <v>5.9965969312415204E-5</v>
      </c>
      <c r="I176" s="19">
        <f>TablaOcurrencia_APMT_16sectores!N175</f>
        <v>2.1887578799031551E-2</v>
      </c>
    </row>
    <row r="177" spans="1:9" ht="15.6" x14ac:dyDescent="0.3">
      <c r="A177" s="16" t="str">
        <f>TablaOcurrencia_APMT_16sectores!B176</f>
        <v>S</v>
      </c>
      <c r="B177" s="17">
        <f>0.5*(TablaOcurrencia_APMT_16sectores!C176+TablaOcurrencia_APMT_16sectores!D176)</f>
        <v>191.25</v>
      </c>
      <c r="C177" s="17">
        <f>0.5*(TablaOcurrencia_APMT_16sectores!E176+TablaOcurrencia_APMT_16sectores!F176)</f>
        <v>4.25</v>
      </c>
      <c r="D177" s="17">
        <f>0.5*(TablaOcurrencia_APMT_16sectores!G176+TablaOcurrencia_APMT_16sectores!H176)</f>
        <v>19</v>
      </c>
      <c r="E177" s="17">
        <f>TablaOcurrencia_APMT_16sectores!K176</f>
        <v>200.52173913043401</v>
      </c>
      <c r="F177" s="17">
        <f>TablaOcurrencia_APMT_16sectores!I176</f>
        <v>4.1552174652173903</v>
      </c>
      <c r="G177" s="17">
        <f>TablaOcurrencia_APMT_16sectores!J176</f>
        <v>18.967808173253498</v>
      </c>
      <c r="H177" s="18">
        <f>TablaOcurrencia_APMT_16sectores!M176</f>
        <v>5.7467387257731237E-5</v>
      </c>
      <c r="I177" s="19">
        <f>TablaOcurrencia_APMT_16sectores!N176</f>
        <v>2.0975596349071902E-2</v>
      </c>
    </row>
    <row r="178" spans="1:9" ht="15.6" x14ac:dyDescent="0.3">
      <c r="A178" s="16" t="str">
        <f>TablaOcurrencia_APMT_16sectores!B177</f>
        <v>W</v>
      </c>
      <c r="B178" s="17">
        <f>0.5*(TablaOcurrencia_APMT_16sectores!C177+TablaOcurrencia_APMT_16sectores!D177)</f>
        <v>281.25</v>
      </c>
      <c r="C178" s="17">
        <f>0.5*(TablaOcurrencia_APMT_16sectores!E177+TablaOcurrencia_APMT_16sectores!F177)</f>
        <v>1.25</v>
      </c>
      <c r="D178" s="17">
        <f>0.5*(TablaOcurrencia_APMT_16sectores!G177+TablaOcurrencia_APMT_16sectores!H177)</f>
        <v>19</v>
      </c>
      <c r="E178" s="17">
        <f>TablaOcurrencia_APMT_16sectores!K177</f>
        <v>284.434782608695</v>
      </c>
      <c r="F178" s="17">
        <f>TablaOcurrencia_APMT_16sectores!I177</f>
        <v>1.40347831304347</v>
      </c>
      <c r="G178" s="17">
        <f>TablaOcurrencia_APMT_16sectores!J177</f>
        <v>19.172516595415399</v>
      </c>
      <c r="H178" s="18">
        <f>TablaOcurrencia_APMT_16sectores!M177</f>
        <v>5.7467387257731237E-5</v>
      </c>
      <c r="I178" s="19">
        <f>TablaOcurrencia_APMT_16sectores!N177</f>
        <v>2.0975596349071902E-2</v>
      </c>
    </row>
    <row r="179" spans="1:9" ht="15.6" x14ac:dyDescent="0.3">
      <c r="A179" s="16" t="str">
        <f>TablaOcurrencia_APMT_16sectores!B178</f>
        <v>WNW</v>
      </c>
      <c r="B179" s="17">
        <f>0.5*(TablaOcurrencia_APMT_16sectores!C178+TablaOcurrencia_APMT_16sectores!D178)</f>
        <v>303.75</v>
      </c>
      <c r="C179" s="17">
        <f>0.5*(TablaOcurrencia_APMT_16sectores!E178+TablaOcurrencia_APMT_16sectores!F178)</f>
        <v>1.25</v>
      </c>
      <c r="D179" s="17">
        <f>0.5*(TablaOcurrencia_APMT_16sectores!G178+TablaOcurrencia_APMT_16sectores!H178)</f>
        <v>13</v>
      </c>
      <c r="E179" s="17">
        <f>TablaOcurrencia_APMT_16sectores!K178</f>
        <v>294.26086956521698</v>
      </c>
      <c r="F179" s="17">
        <f>TablaOcurrencia_APMT_16sectores!I178</f>
        <v>1.2346087391304299</v>
      </c>
      <c r="G179" s="17">
        <f>TablaOcurrencia_APMT_16sectores!J178</f>
        <v>13.1445487719454</v>
      </c>
      <c r="H179" s="18">
        <f>TablaOcurrencia_APMT_16sectores!M178</f>
        <v>5.7467387257731237E-5</v>
      </c>
      <c r="I179" s="19">
        <f>TablaOcurrencia_APMT_16sectores!N178</f>
        <v>2.0975596349071902E-2</v>
      </c>
    </row>
    <row r="180" spans="1:9" ht="15.6" x14ac:dyDescent="0.3">
      <c r="A180" s="16" t="str">
        <f>TablaOcurrencia_APMT_16sectores!B179</f>
        <v>WNW</v>
      </c>
      <c r="B180" s="17">
        <f>0.5*(TablaOcurrencia_APMT_16sectores!C179+TablaOcurrencia_APMT_16sectores!D179)</f>
        <v>303.75</v>
      </c>
      <c r="C180" s="17">
        <f>0.5*(TablaOcurrencia_APMT_16sectores!E179+TablaOcurrencia_APMT_16sectores!F179)</f>
        <v>1.25</v>
      </c>
      <c r="D180" s="17">
        <f>0.5*(TablaOcurrencia_APMT_16sectores!G179+TablaOcurrencia_APMT_16sectores!H179)</f>
        <v>23</v>
      </c>
      <c r="E180" s="17">
        <f>TablaOcurrencia_APMT_16sectores!K179</f>
        <v>303.26086956521698</v>
      </c>
      <c r="F180" s="17">
        <f>TablaOcurrencia_APMT_16sectores!I179</f>
        <v>1.3612174478260799</v>
      </c>
      <c r="G180" s="17">
        <f>TablaOcurrencia_APMT_16sectores!J179</f>
        <v>23.449501748803002</v>
      </c>
      <c r="H180" s="18">
        <f>TablaOcurrencia_APMT_16sectores!M179</f>
        <v>5.7467387257731237E-5</v>
      </c>
      <c r="I180" s="19">
        <f>TablaOcurrencia_APMT_16sectores!N179</f>
        <v>2.0975596349071902E-2</v>
      </c>
    </row>
    <row r="181" spans="1:9" ht="15.6" x14ac:dyDescent="0.3">
      <c r="A181" s="16" t="str">
        <f>TablaOcurrencia_APMT_16sectores!B180</f>
        <v>W</v>
      </c>
      <c r="B181" s="17">
        <f>0.5*(TablaOcurrencia_APMT_16sectores!C180+TablaOcurrencia_APMT_16sectores!D180)</f>
        <v>281.25</v>
      </c>
      <c r="C181" s="17">
        <f>0.5*(TablaOcurrencia_APMT_16sectores!E180+TablaOcurrencia_APMT_16sectores!F180)</f>
        <v>1.75</v>
      </c>
      <c r="D181" s="17">
        <f>0.5*(TablaOcurrencia_APMT_16sectores!G180+TablaOcurrencia_APMT_16sectores!H180)</f>
        <v>13</v>
      </c>
      <c r="E181" s="17">
        <f>TablaOcurrencia_APMT_16sectores!K180</f>
        <v>279.72727272727201</v>
      </c>
      <c r="F181" s="17">
        <f>TablaOcurrencia_APMT_16sectores!I180</f>
        <v>1.71663644090909</v>
      </c>
      <c r="G181" s="17">
        <f>TablaOcurrencia_APMT_16sectores!J180</f>
        <v>13.534061212259701</v>
      </c>
      <c r="H181" s="18">
        <f>TablaOcurrencia_APMT_16sectores!M180</f>
        <v>5.496880520304727E-5</v>
      </c>
      <c r="I181" s="19">
        <f>TablaOcurrencia_APMT_16sectores!N180</f>
        <v>2.0063613899112254E-2</v>
      </c>
    </row>
    <row r="182" spans="1:9" ht="15.6" x14ac:dyDescent="0.3">
      <c r="A182" s="16" t="str">
        <f>TablaOcurrencia_APMT_16sectores!B181</f>
        <v>WSW</v>
      </c>
      <c r="B182" s="17">
        <f>0.5*(TablaOcurrencia_APMT_16sectores!C181+TablaOcurrencia_APMT_16sectores!D181)</f>
        <v>258.75</v>
      </c>
      <c r="C182" s="17">
        <f>0.5*(TablaOcurrencia_APMT_16sectores!E181+TablaOcurrencia_APMT_16sectores!F181)</f>
        <v>2.75</v>
      </c>
      <c r="D182" s="17">
        <f>0.5*(TablaOcurrencia_APMT_16sectores!G181+TablaOcurrencia_APMT_16sectores!H181)</f>
        <v>19</v>
      </c>
      <c r="E182" s="17">
        <f>TablaOcurrencia_APMT_16sectores!K181</f>
        <v>256.09523809523802</v>
      </c>
      <c r="F182" s="17">
        <f>TablaOcurrencia_APMT_16sectores!I181</f>
        <v>2.8175238904761901</v>
      </c>
      <c r="G182" s="17">
        <f>TablaOcurrencia_APMT_16sectores!J181</f>
        <v>19.051066968286801</v>
      </c>
      <c r="H182" s="18">
        <f>TablaOcurrencia_APMT_16sectores!M181</f>
        <v>5.2470223148363303E-5</v>
      </c>
      <c r="I182" s="19">
        <f>TablaOcurrencia_APMT_16sectores!N181</f>
        <v>1.9151631449152606E-2</v>
      </c>
    </row>
    <row r="183" spans="1:9" ht="15.6" x14ac:dyDescent="0.3">
      <c r="A183" s="16" t="str">
        <f>TablaOcurrencia_APMT_16sectores!B182</f>
        <v>SSW</v>
      </c>
      <c r="B183" s="17">
        <f>0.5*(TablaOcurrencia_APMT_16sectores!C182+TablaOcurrencia_APMT_16sectores!D182)</f>
        <v>213.75</v>
      </c>
      <c r="C183" s="17">
        <f>0.5*(TablaOcurrencia_APMT_16sectores!E182+TablaOcurrencia_APMT_16sectores!F182)</f>
        <v>4.75</v>
      </c>
      <c r="D183" s="17">
        <f>0.5*(TablaOcurrencia_APMT_16sectores!G182+TablaOcurrencia_APMT_16sectores!H182)</f>
        <v>19</v>
      </c>
      <c r="E183" s="17">
        <f>TablaOcurrencia_APMT_16sectores!K182</f>
        <v>210.95</v>
      </c>
      <c r="F183" s="17">
        <f>TablaOcurrencia_APMT_16sectores!I182</f>
        <v>4.6027001749999998</v>
      </c>
      <c r="G183" s="17">
        <f>TablaOcurrencia_APMT_16sectores!J182</f>
        <v>18.491945701549501</v>
      </c>
      <c r="H183" s="18">
        <f>TablaOcurrencia_APMT_16sectores!M182</f>
        <v>4.9971641093679337E-5</v>
      </c>
      <c r="I183" s="19">
        <f>TablaOcurrencia_APMT_16sectores!N182</f>
        <v>1.8239648999192958E-2</v>
      </c>
    </row>
    <row r="184" spans="1:9" ht="15.6" x14ac:dyDescent="0.3">
      <c r="A184" s="16" t="str">
        <f>TablaOcurrencia_APMT_16sectores!B183</f>
        <v>SSE</v>
      </c>
      <c r="B184" s="17">
        <f>0.5*(TablaOcurrencia_APMT_16sectores!C183+TablaOcurrencia_APMT_16sectores!D183)</f>
        <v>168.75</v>
      </c>
      <c r="C184" s="17">
        <f>0.5*(TablaOcurrencia_APMT_16sectores!E183+TablaOcurrencia_APMT_16sectores!F183)</f>
        <v>3.25</v>
      </c>
      <c r="D184" s="17">
        <f>0.5*(TablaOcurrencia_APMT_16sectores!G183+TablaOcurrencia_APMT_16sectores!H183)</f>
        <v>7</v>
      </c>
      <c r="E184" s="17">
        <f>TablaOcurrencia_APMT_16sectores!K183</f>
        <v>174.52631578947299</v>
      </c>
      <c r="F184" s="17">
        <f>TablaOcurrencia_APMT_16sectores!I183</f>
        <v>3.1595790947368401</v>
      </c>
      <c r="G184" s="17">
        <f>TablaOcurrencia_APMT_16sectores!J183</f>
        <v>7.8179904240840399</v>
      </c>
      <c r="H184" s="18">
        <f>TablaOcurrencia_APMT_16sectores!M183</f>
        <v>4.747305903899537E-5</v>
      </c>
      <c r="I184" s="19">
        <f>TablaOcurrencia_APMT_16sectores!N183</f>
        <v>1.732766654923331E-2</v>
      </c>
    </row>
    <row r="185" spans="1:9" ht="15.6" x14ac:dyDescent="0.3">
      <c r="A185" s="16" t="str">
        <f>TablaOcurrencia_APMT_16sectores!B184</f>
        <v>SSE</v>
      </c>
      <c r="B185" s="17">
        <f>0.5*(TablaOcurrencia_APMT_16sectores!C184+TablaOcurrencia_APMT_16sectores!D184)</f>
        <v>168.75</v>
      </c>
      <c r="C185" s="17">
        <f>0.5*(TablaOcurrencia_APMT_16sectores!E184+TablaOcurrencia_APMT_16sectores!F184)</f>
        <v>4.25</v>
      </c>
      <c r="D185" s="17">
        <f>0.5*(TablaOcurrencia_APMT_16sectores!G184+TablaOcurrencia_APMT_16sectores!H184)</f>
        <v>9</v>
      </c>
      <c r="E185" s="17">
        <f>TablaOcurrencia_APMT_16sectores!K184</f>
        <v>175.210526315789</v>
      </c>
      <c r="F185" s="17">
        <f>TablaOcurrencia_APMT_16sectores!I184</f>
        <v>4.21157906315789</v>
      </c>
      <c r="G185" s="17">
        <f>TablaOcurrencia_APMT_16sectores!J184</f>
        <v>9.7017939238403805</v>
      </c>
      <c r="H185" s="18">
        <f>TablaOcurrencia_APMT_16sectores!M184</f>
        <v>4.747305903899537E-5</v>
      </c>
      <c r="I185" s="19">
        <f>TablaOcurrencia_APMT_16sectores!N184</f>
        <v>1.732766654923331E-2</v>
      </c>
    </row>
    <row r="186" spans="1:9" ht="15.6" x14ac:dyDescent="0.3">
      <c r="A186" s="16" t="str">
        <f>TablaOcurrencia_APMT_16sectores!B185</f>
        <v>S</v>
      </c>
      <c r="B186" s="17">
        <f>0.5*(TablaOcurrencia_APMT_16sectores!C185+TablaOcurrencia_APMT_16sectores!D185)</f>
        <v>191.25</v>
      </c>
      <c r="C186" s="17">
        <f>0.5*(TablaOcurrencia_APMT_16sectores!E185+TablaOcurrencia_APMT_16sectores!F185)</f>
        <v>1.25</v>
      </c>
      <c r="D186" s="17">
        <f>0.5*(TablaOcurrencia_APMT_16sectores!G185+TablaOcurrencia_APMT_16sectores!H185)</f>
        <v>7</v>
      </c>
      <c r="E186" s="17">
        <f>TablaOcurrencia_APMT_16sectores!K185</f>
        <v>184.388888888888</v>
      </c>
      <c r="F186" s="17">
        <f>TablaOcurrencia_APMT_16sectores!I185</f>
        <v>1.3604445055555501</v>
      </c>
      <c r="G186" s="17">
        <f>TablaOcurrencia_APMT_16sectores!J185</f>
        <v>7.5022956060509998</v>
      </c>
      <c r="H186" s="18">
        <f>TablaOcurrencia_APMT_16sectores!M185</f>
        <v>4.4974476984311403E-5</v>
      </c>
      <c r="I186" s="19">
        <f>TablaOcurrencia_APMT_16sectores!N185</f>
        <v>1.6415684099273662E-2</v>
      </c>
    </row>
    <row r="187" spans="1:9" ht="15.6" x14ac:dyDescent="0.3">
      <c r="A187" s="16" t="str">
        <f>TablaOcurrencia_APMT_16sectores!B186</f>
        <v>SSW</v>
      </c>
      <c r="B187" s="17">
        <f>0.5*(TablaOcurrencia_APMT_16sectores!C186+TablaOcurrencia_APMT_16sectores!D186)</f>
        <v>213.75</v>
      </c>
      <c r="C187" s="17">
        <f>0.5*(TablaOcurrencia_APMT_16sectores!E186+TablaOcurrencia_APMT_16sectores!F186)</f>
        <v>1.75</v>
      </c>
      <c r="D187" s="17">
        <f>0.5*(TablaOcurrencia_APMT_16sectores!G186+TablaOcurrencia_APMT_16sectores!H186)</f>
        <v>7</v>
      </c>
      <c r="E187" s="17">
        <f>TablaOcurrencia_APMT_16sectores!K186</f>
        <v>206.722222222222</v>
      </c>
      <c r="F187" s="17">
        <f>TablaOcurrencia_APMT_16sectores!I186</f>
        <v>1.8565556277777699</v>
      </c>
      <c r="G187" s="17">
        <f>TablaOcurrencia_APMT_16sectores!J186</f>
        <v>6.1714353660635304</v>
      </c>
      <c r="H187" s="18">
        <f>TablaOcurrencia_APMT_16sectores!M186</f>
        <v>4.4974476984311403E-5</v>
      </c>
      <c r="I187" s="19">
        <f>TablaOcurrencia_APMT_16sectores!N186</f>
        <v>1.6415684099273662E-2</v>
      </c>
    </row>
    <row r="188" spans="1:9" ht="15.6" x14ac:dyDescent="0.3">
      <c r="A188" s="16" t="str">
        <f>TablaOcurrencia_APMT_16sectores!B187</f>
        <v>S</v>
      </c>
      <c r="B188" s="17">
        <f>0.5*(TablaOcurrencia_APMT_16sectores!C187+TablaOcurrencia_APMT_16sectores!D187)</f>
        <v>191.25</v>
      </c>
      <c r="C188" s="17">
        <f>0.5*(TablaOcurrencia_APMT_16sectores!E187+TablaOcurrencia_APMT_16sectores!F187)</f>
        <v>3.75</v>
      </c>
      <c r="D188" s="17">
        <f>0.5*(TablaOcurrencia_APMT_16sectores!G187+TablaOcurrencia_APMT_16sectores!H187)</f>
        <v>21</v>
      </c>
      <c r="E188" s="17">
        <f>TablaOcurrencia_APMT_16sectores!K187</f>
        <v>200.4</v>
      </c>
      <c r="F188" s="17">
        <f>TablaOcurrencia_APMT_16sectores!I187</f>
        <v>3.77520021333333</v>
      </c>
      <c r="G188" s="17">
        <f>TablaOcurrencia_APMT_16sectores!J187</f>
        <v>21.102987044324401</v>
      </c>
      <c r="H188" s="18">
        <f>TablaOcurrencia_APMT_16sectores!M187</f>
        <v>3.7478730820259502E-5</v>
      </c>
      <c r="I188" s="19">
        <f>TablaOcurrencia_APMT_16sectores!N187</f>
        <v>1.3679736749394718E-2</v>
      </c>
    </row>
    <row r="189" spans="1:9" ht="15.6" x14ac:dyDescent="0.3">
      <c r="A189" s="16" t="str">
        <f>TablaOcurrencia_APMT_16sectores!B188</f>
        <v>SSW</v>
      </c>
      <c r="B189" s="17">
        <f>0.5*(TablaOcurrencia_APMT_16sectores!C188+TablaOcurrencia_APMT_16sectores!D188)</f>
        <v>213.75</v>
      </c>
      <c r="C189" s="17">
        <f>0.5*(TablaOcurrencia_APMT_16sectores!E188+TablaOcurrencia_APMT_16sectores!F188)</f>
        <v>3.25</v>
      </c>
      <c r="D189" s="17">
        <f>0.5*(TablaOcurrencia_APMT_16sectores!G188+TablaOcurrencia_APMT_16sectores!H188)</f>
        <v>11</v>
      </c>
      <c r="E189" s="17">
        <f>TablaOcurrencia_APMT_16sectores!K188</f>
        <v>205.86666666666599</v>
      </c>
      <c r="F189" s="17">
        <f>TablaOcurrencia_APMT_16sectores!I188</f>
        <v>3.21426679333333</v>
      </c>
      <c r="G189" s="17">
        <f>TablaOcurrencia_APMT_16sectores!J188</f>
        <v>11.8207278589</v>
      </c>
      <c r="H189" s="18">
        <f>TablaOcurrencia_APMT_16sectores!M188</f>
        <v>3.7478730820259502E-5</v>
      </c>
      <c r="I189" s="19">
        <f>TablaOcurrencia_APMT_16sectores!N188</f>
        <v>1.3679736749394718E-2</v>
      </c>
    </row>
    <row r="190" spans="1:9" ht="15.6" x14ac:dyDescent="0.3">
      <c r="A190" s="16" t="str">
        <f>TablaOcurrencia_APMT_16sectores!B189</f>
        <v>W</v>
      </c>
      <c r="B190" s="17">
        <f>0.5*(TablaOcurrencia_APMT_16sectores!C189+TablaOcurrencia_APMT_16sectores!D189)</f>
        <v>281.25</v>
      </c>
      <c r="C190" s="17">
        <f>0.5*(TablaOcurrencia_APMT_16sectores!E189+TablaOcurrencia_APMT_16sectores!F189)</f>
        <v>2.25</v>
      </c>
      <c r="D190" s="17">
        <f>0.5*(TablaOcurrencia_APMT_16sectores!G189+TablaOcurrencia_APMT_16sectores!H189)</f>
        <v>21</v>
      </c>
      <c r="E190" s="17">
        <f>TablaOcurrencia_APMT_16sectores!K189</f>
        <v>283</v>
      </c>
      <c r="F190" s="17">
        <f>TablaOcurrencia_APMT_16sectores!I189</f>
        <v>2.2860000999999999</v>
      </c>
      <c r="G190" s="17">
        <f>TablaOcurrencia_APMT_16sectores!J189</f>
        <v>21.130046957265399</v>
      </c>
      <c r="H190" s="18">
        <f>TablaOcurrencia_APMT_16sectores!M189</f>
        <v>3.7478730820259502E-5</v>
      </c>
      <c r="I190" s="19">
        <f>TablaOcurrencia_APMT_16sectores!N189</f>
        <v>1.3679736749394718E-2</v>
      </c>
    </row>
    <row r="191" spans="1:9" ht="15.6" x14ac:dyDescent="0.3">
      <c r="A191" s="16" t="str">
        <f>TablaOcurrencia_APMT_16sectores!B190</f>
        <v>SSE</v>
      </c>
      <c r="B191" s="17">
        <f>0.5*(TablaOcurrencia_APMT_16sectores!C190+TablaOcurrencia_APMT_16sectores!D190)</f>
        <v>168.75</v>
      </c>
      <c r="C191" s="17">
        <f>0.5*(TablaOcurrencia_APMT_16sectores!E190+TablaOcurrencia_APMT_16sectores!F190)</f>
        <v>4.75</v>
      </c>
      <c r="D191" s="17">
        <f>0.5*(TablaOcurrencia_APMT_16sectores!G190+TablaOcurrencia_APMT_16sectores!H190)</f>
        <v>11</v>
      </c>
      <c r="E191" s="17">
        <f>TablaOcurrencia_APMT_16sectores!K190</f>
        <v>176.5</v>
      </c>
      <c r="F191" s="17">
        <f>TablaOcurrencia_APMT_16sectores!I190</f>
        <v>4.7120002214285703</v>
      </c>
      <c r="G191" s="17">
        <f>TablaOcurrencia_APMT_16sectores!J190</f>
        <v>10.779785568831601</v>
      </c>
      <c r="H191" s="18">
        <f>TablaOcurrencia_APMT_16sectores!M190</f>
        <v>3.4980148765575536E-5</v>
      </c>
      <c r="I191" s="19">
        <f>TablaOcurrencia_APMT_16sectores!N190</f>
        <v>1.2767754299435071E-2</v>
      </c>
    </row>
    <row r="192" spans="1:9" ht="15.6" x14ac:dyDescent="0.3">
      <c r="A192" s="16" t="str">
        <f>TablaOcurrencia_APMT_16sectores!B191</f>
        <v>S</v>
      </c>
      <c r="B192" s="17">
        <f>0.5*(TablaOcurrencia_APMT_16sectores!C191+TablaOcurrencia_APMT_16sectores!D191)</f>
        <v>191.25</v>
      </c>
      <c r="C192" s="17">
        <f>0.5*(TablaOcurrencia_APMT_16sectores!E191+TablaOcurrencia_APMT_16sectores!F191)</f>
        <v>2.25</v>
      </c>
      <c r="D192" s="17">
        <f>0.5*(TablaOcurrencia_APMT_16sectores!G191+TablaOcurrencia_APMT_16sectores!H191)</f>
        <v>23</v>
      </c>
      <c r="E192" s="17">
        <f>TablaOcurrencia_APMT_16sectores!K191</f>
        <v>192.07142857142799</v>
      </c>
      <c r="F192" s="17">
        <f>TablaOcurrencia_APMT_16sectores!I191</f>
        <v>2.22957154999999</v>
      </c>
      <c r="G192" s="17">
        <f>TablaOcurrencia_APMT_16sectores!J191</f>
        <v>23.341985321765598</v>
      </c>
      <c r="H192" s="18">
        <f>TablaOcurrencia_APMT_16sectores!M191</f>
        <v>3.4980148765575536E-5</v>
      </c>
      <c r="I192" s="19">
        <f>TablaOcurrencia_APMT_16sectores!N191</f>
        <v>1.2767754299435071E-2</v>
      </c>
    </row>
    <row r="193" spans="1:9" ht="15.6" x14ac:dyDescent="0.3">
      <c r="A193" s="16" t="str">
        <f>TablaOcurrencia_APMT_16sectores!B192</f>
        <v>SSW</v>
      </c>
      <c r="B193" s="17">
        <f>0.5*(TablaOcurrencia_APMT_16sectores!C192+TablaOcurrencia_APMT_16sectores!D192)</f>
        <v>213.75</v>
      </c>
      <c r="C193" s="17">
        <f>0.5*(TablaOcurrencia_APMT_16sectores!E192+TablaOcurrencia_APMT_16sectores!F192)</f>
        <v>2.25</v>
      </c>
      <c r="D193" s="17">
        <f>0.5*(TablaOcurrencia_APMT_16sectores!G192+TablaOcurrencia_APMT_16sectores!H192)</f>
        <v>7</v>
      </c>
      <c r="E193" s="17">
        <f>TablaOcurrencia_APMT_16sectores!K192</f>
        <v>213.85714285714201</v>
      </c>
      <c r="F193" s="17">
        <f>TablaOcurrencia_APMT_16sectores!I192</f>
        <v>2.11557150714285</v>
      </c>
      <c r="G193" s="17">
        <f>TablaOcurrencia_APMT_16sectores!J192</f>
        <v>6.2906443154806597</v>
      </c>
      <c r="H193" s="18">
        <f>TablaOcurrencia_APMT_16sectores!M192</f>
        <v>3.4980148765575536E-5</v>
      </c>
      <c r="I193" s="19">
        <f>TablaOcurrencia_APMT_16sectores!N192</f>
        <v>1.2767754299435071E-2</v>
      </c>
    </row>
    <row r="194" spans="1:9" ht="15.6" x14ac:dyDescent="0.3">
      <c r="A194" s="16" t="str">
        <f>TablaOcurrencia_APMT_16sectores!B193</f>
        <v>SSW</v>
      </c>
      <c r="B194" s="17">
        <f>0.5*(TablaOcurrencia_APMT_16sectores!C193+TablaOcurrencia_APMT_16sectores!D193)</f>
        <v>213.75</v>
      </c>
      <c r="C194" s="17">
        <f>0.5*(TablaOcurrencia_APMT_16sectores!E193+TablaOcurrencia_APMT_16sectores!F193)</f>
        <v>3.25</v>
      </c>
      <c r="D194" s="17">
        <f>0.5*(TablaOcurrencia_APMT_16sectores!G193+TablaOcurrencia_APMT_16sectores!H193)</f>
        <v>23</v>
      </c>
      <c r="E194" s="17">
        <f>TablaOcurrencia_APMT_16sectores!K193</f>
        <v>215.42857142857099</v>
      </c>
      <c r="F194" s="17">
        <f>TablaOcurrencia_APMT_16sectores!I193</f>
        <v>3.1517143642857102</v>
      </c>
      <c r="G194" s="17">
        <f>TablaOcurrencia_APMT_16sectores!J193</f>
        <v>23.338509659767901</v>
      </c>
      <c r="H194" s="18">
        <f>TablaOcurrencia_APMT_16sectores!M193</f>
        <v>3.4980148765575536E-5</v>
      </c>
      <c r="I194" s="19">
        <f>TablaOcurrencia_APMT_16sectores!N193</f>
        <v>1.2767754299435071E-2</v>
      </c>
    </row>
    <row r="195" spans="1:9" ht="15.6" x14ac:dyDescent="0.3">
      <c r="A195" s="16" t="str">
        <f>TablaOcurrencia_APMT_16sectores!B194</f>
        <v>SW</v>
      </c>
      <c r="B195" s="17">
        <f>0.5*(TablaOcurrencia_APMT_16sectores!C194+TablaOcurrencia_APMT_16sectores!D194)</f>
        <v>236.25</v>
      </c>
      <c r="C195" s="17">
        <f>0.5*(TablaOcurrencia_APMT_16sectores!E194+TablaOcurrencia_APMT_16sectores!F194)</f>
        <v>2.75</v>
      </c>
      <c r="D195" s="17">
        <f>0.5*(TablaOcurrencia_APMT_16sectores!G194+TablaOcurrencia_APMT_16sectores!H194)</f>
        <v>21</v>
      </c>
      <c r="E195" s="17">
        <f>TablaOcurrencia_APMT_16sectores!K194</f>
        <v>228.92857142857099</v>
      </c>
      <c r="F195" s="17">
        <f>TablaOcurrencia_APMT_16sectores!I194</f>
        <v>2.66585725714285</v>
      </c>
      <c r="G195" s="17">
        <f>TablaOcurrencia_APMT_16sectores!J194</f>
        <v>21.153993973430499</v>
      </c>
      <c r="H195" s="18">
        <f>TablaOcurrencia_APMT_16sectores!M194</f>
        <v>3.4980148765575536E-5</v>
      </c>
      <c r="I195" s="19">
        <f>TablaOcurrencia_APMT_16sectores!N194</f>
        <v>1.2767754299435071E-2</v>
      </c>
    </row>
    <row r="196" spans="1:9" ht="15.6" x14ac:dyDescent="0.3">
      <c r="A196" s="16" t="str">
        <f>TablaOcurrencia_APMT_16sectores!B195</f>
        <v>W</v>
      </c>
      <c r="B196" s="17">
        <f>0.5*(TablaOcurrencia_APMT_16sectores!C195+TablaOcurrencia_APMT_16sectores!D195)</f>
        <v>281.25</v>
      </c>
      <c r="C196" s="17">
        <f>0.5*(TablaOcurrencia_APMT_16sectores!E195+TablaOcurrencia_APMT_16sectores!F195)</f>
        <v>2.75</v>
      </c>
      <c r="D196" s="17">
        <f>0.5*(TablaOcurrencia_APMT_16sectores!G195+TablaOcurrencia_APMT_16sectores!H195)</f>
        <v>19</v>
      </c>
      <c r="E196" s="17">
        <f>TablaOcurrencia_APMT_16sectores!K195</f>
        <v>282.5</v>
      </c>
      <c r="F196" s="17">
        <f>TablaOcurrencia_APMT_16sectores!I195</f>
        <v>2.8210001</v>
      </c>
      <c r="G196" s="17">
        <f>TablaOcurrencia_APMT_16sectores!J195</f>
        <v>18.903504696432599</v>
      </c>
      <c r="H196" s="18">
        <f>TablaOcurrencia_APMT_16sectores!M195</f>
        <v>3.4980148765575536E-5</v>
      </c>
      <c r="I196" s="19">
        <f>TablaOcurrencia_APMT_16sectores!N195</f>
        <v>1.2767754299435071E-2</v>
      </c>
    </row>
    <row r="197" spans="1:9" ht="15.6" x14ac:dyDescent="0.3">
      <c r="A197" s="16" t="str">
        <f>TablaOcurrencia_APMT_16sectores!B196</f>
        <v>WNW</v>
      </c>
      <c r="B197" s="17">
        <f>0.5*(TablaOcurrencia_APMT_16sectores!C196+TablaOcurrencia_APMT_16sectores!D196)</f>
        <v>303.75</v>
      </c>
      <c r="C197" s="17">
        <f>0.5*(TablaOcurrencia_APMT_16sectores!E196+TablaOcurrencia_APMT_16sectores!F196)</f>
        <v>2.25</v>
      </c>
      <c r="D197" s="17">
        <f>0.5*(TablaOcurrencia_APMT_16sectores!G196+TablaOcurrencia_APMT_16sectores!H196)</f>
        <v>23</v>
      </c>
      <c r="E197" s="17">
        <f>TablaOcurrencia_APMT_16sectores!K196</f>
        <v>303.35714285714198</v>
      </c>
      <c r="F197" s="17">
        <f>TablaOcurrencia_APMT_16sectores!I196</f>
        <v>2.08485722857142</v>
      </c>
      <c r="G197" s="17">
        <f>TablaOcurrencia_APMT_16sectores!J196</f>
        <v>23.341985321765598</v>
      </c>
      <c r="H197" s="18">
        <f>TablaOcurrencia_APMT_16sectores!M196</f>
        <v>3.4980148765575536E-5</v>
      </c>
      <c r="I197" s="19">
        <f>TablaOcurrencia_APMT_16sectores!N196</f>
        <v>1.2767754299435071E-2</v>
      </c>
    </row>
    <row r="198" spans="1:9" ht="15.6" x14ac:dyDescent="0.3">
      <c r="A198" s="16" t="str">
        <f>TablaOcurrencia_APMT_16sectores!B197</f>
        <v>SSE</v>
      </c>
      <c r="B198" s="17">
        <f>0.5*(TablaOcurrencia_APMT_16sectores!C197+TablaOcurrencia_APMT_16sectores!D197)</f>
        <v>168.75</v>
      </c>
      <c r="C198" s="17">
        <f>0.5*(TablaOcurrencia_APMT_16sectores!E197+TablaOcurrencia_APMT_16sectores!F197)</f>
        <v>4.25</v>
      </c>
      <c r="D198" s="17">
        <f>0.5*(TablaOcurrencia_APMT_16sectores!G197+TablaOcurrencia_APMT_16sectores!H197)</f>
        <v>11</v>
      </c>
      <c r="E198" s="17">
        <f>TablaOcurrencia_APMT_16sectores!K197</f>
        <v>175.923076923076</v>
      </c>
      <c r="F198" s="17">
        <f>TablaOcurrencia_APMT_16sectores!I197</f>
        <v>4.27138479230769</v>
      </c>
      <c r="G198" s="17">
        <f>TablaOcurrencia_APMT_16sectores!J197</f>
        <v>10.731946647669</v>
      </c>
      <c r="H198" s="18">
        <f>TablaOcurrencia_APMT_16sectores!M197</f>
        <v>3.2481566710891569E-5</v>
      </c>
      <c r="I198" s="19">
        <f>TablaOcurrencia_APMT_16sectores!N197</f>
        <v>1.1855771849475423E-2</v>
      </c>
    </row>
    <row r="199" spans="1:9" ht="15.6" x14ac:dyDescent="0.3">
      <c r="A199" s="16" t="str">
        <f>TablaOcurrencia_APMT_16sectores!B198</f>
        <v>S</v>
      </c>
      <c r="B199" s="17">
        <f>0.5*(TablaOcurrencia_APMT_16sectores!C198+TablaOcurrencia_APMT_16sectores!D198)</f>
        <v>191.25</v>
      </c>
      <c r="C199" s="17">
        <f>0.5*(TablaOcurrencia_APMT_16sectores!E198+TablaOcurrencia_APMT_16sectores!F198)</f>
        <v>0.75</v>
      </c>
      <c r="D199" s="17">
        <f>0.5*(TablaOcurrencia_APMT_16sectores!G198+TablaOcurrencia_APMT_16sectores!H198)</f>
        <v>5</v>
      </c>
      <c r="E199" s="17">
        <f>TablaOcurrencia_APMT_16sectores!K198</f>
        <v>185.07692307692301</v>
      </c>
      <c r="F199" s="17">
        <f>TablaOcurrencia_APMT_16sectores!I198</f>
        <v>0.69907694846153801</v>
      </c>
      <c r="G199" s="17">
        <f>TablaOcurrencia_APMT_16sectores!J198</f>
        <v>5.25714353435274</v>
      </c>
      <c r="H199" s="18">
        <f>TablaOcurrencia_APMT_16sectores!M198</f>
        <v>3.2481566710891569E-5</v>
      </c>
      <c r="I199" s="19">
        <f>TablaOcurrencia_APMT_16sectores!N198</f>
        <v>1.1855771849475423E-2</v>
      </c>
    </row>
    <row r="200" spans="1:9" ht="15.6" x14ac:dyDescent="0.3">
      <c r="A200" s="16" t="str">
        <f>TablaOcurrencia_APMT_16sectores!B199</f>
        <v>SSW</v>
      </c>
      <c r="B200" s="17">
        <f>0.5*(TablaOcurrencia_APMT_16sectores!C199+TablaOcurrencia_APMT_16sectores!D199)</f>
        <v>213.75</v>
      </c>
      <c r="C200" s="17">
        <f>0.5*(TablaOcurrencia_APMT_16sectores!E199+TablaOcurrencia_APMT_16sectores!F199)</f>
        <v>2.25</v>
      </c>
      <c r="D200" s="17">
        <f>0.5*(TablaOcurrencia_APMT_16sectores!G199+TablaOcurrencia_APMT_16sectores!H199)</f>
        <v>9</v>
      </c>
      <c r="E200" s="17">
        <f>TablaOcurrencia_APMT_16sectores!K199</f>
        <v>203.923076923076</v>
      </c>
      <c r="F200" s="17">
        <f>TablaOcurrencia_APMT_16sectores!I199</f>
        <v>2.13292316923076</v>
      </c>
      <c r="G200" s="17">
        <f>TablaOcurrencia_APMT_16sectores!J199</f>
        <v>9.9109108247913493</v>
      </c>
      <c r="H200" s="18">
        <f>TablaOcurrencia_APMT_16sectores!M199</f>
        <v>3.2481566710891569E-5</v>
      </c>
      <c r="I200" s="19">
        <f>TablaOcurrencia_APMT_16sectores!N199</f>
        <v>1.1855771849475423E-2</v>
      </c>
    </row>
    <row r="201" spans="1:9" ht="15.6" x14ac:dyDescent="0.3">
      <c r="A201" s="16" t="str">
        <f>TablaOcurrencia_APMT_16sectores!B200</f>
        <v>SSE</v>
      </c>
      <c r="B201" s="17">
        <f>0.5*(TablaOcurrencia_APMT_16sectores!C200+TablaOcurrencia_APMT_16sectores!D200)</f>
        <v>168.75</v>
      </c>
      <c r="C201" s="17">
        <f>0.5*(TablaOcurrencia_APMT_16sectores!E200+TablaOcurrencia_APMT_16sectores!F200)</f>
        <v>0.75</v>
      </c>
      <c r="D201" s="17">
        <f>0.5*(TablaOcurrencia_APMT_16sectores!G200+TablaOcurrencia_APMT_16sectores!H200)</f>
        <v>19</v>
      </c>
      <c r="E201" s="17">
        <f>TablaOcurrencia_APMT_16sectores!K200</f>
        <v>159.166666666666</v>
      </c>
      <c r="F201" s="17">
        <f>TablaOcurrencia_APMT_16sectores!I200</f>
        <v>0.71300001833333304</v>
      </c>
      <c r="G201" s="17">
        <f>TablaOcurrencia_APMT_16sectores!J200</f>
        <v>19.230768833992698</v>
      </c>
      <c r="H201" s="18">
        <f>TablaOcurrencia_APMT_16sectores!M200</f>
        <v>2.9982984656207602E-5</v>
      </c>
      <c r="I201" s="19">
        <f>TablaOcurrencia_APMT_16sectores!N200</f>
        <v>1.0943789399515775E-2</v>
      </c>
    </row>
    <row r="202" spans="1:9" ht="15.6" x14ac:dyDescent="0.3">
      <c r="A202" s="16" t="str">
        <f>TablaOcurrencia_APMT_16sectores!B201</f>
        <v>WSW</v>
      </c>
      <c r="B202" s="17">
        <f>0.5*(TablaOcurrencia_APMT_16sectores!C201+TablaOcurrencia_APMT_16sectores!D201)</f>
        <v>258.75</v>
      </c>
      <c r="C202" s="17">
        <f>0.5*(TablaOcurrencia_APMT_16sectores!E201+TablaOcurrencia_APMT_16sectores!F201)</f>
        <v>2.75</v>
      </c>
      <c r="D202" s="17">
        <f>0.5*(TablaOcurrencia_APMT_16sectores!G201+TablaOcurrencia_APMT_16sectores!H201)</f>
        <v>15</v>
      </c>
      <c r="E202" s="17">
        <f>TablaOcurrencia_APMT_16sectores!K201</f>
        <v>256.416666666666</v>
      </c>
      <c r="F202" s="17">
        <f>TablaOcurrencia_APMT_16sectores!I201</f>
        <v>2.5891667416666602</v>
      </c>
      <c r="G202" s="17">
        <f>TablaOcurrencia_APMT_16sectores!J201</f>
        <v>15.6463032284645</v>
      </c>
      <c r="H202" s="18">
        <f>TablaOcurrencia_APMT_16sectores!M201</f>
        <v>2.9982984656207602E-5</v>
      </c>
      <c r="I202" s="19">
        <f>TablaOcurrencia_APMT_16sectores!N201</f>
        <v>1.0943789399515775E-2</v>
      </c>
    </row>
    <row r="203" spans="1:9" ht="15.6" x14ac:dyDescent="0.3">
      <c r="A203" s="16" t="str">
        <f>TablaOcurrencia_APMT_16sectores!B202</f>
        <v>WNW</v>
      </c>
      <c r="B203" s="17">
        <f>0.5*(TablaOcurrencia_APMT_16sectores!C202+TablaOcurrencia_APMT_16sectores!D202)</f>
        <v>303.75</v>
      </c>
      <c r="C203" s="17">
        <f>0.5*(TablaOcurrencia_APMT_16sectores!E202+TablaOcurrencia_APMT_16sectores!F202)</f>
        <v>1.75</v>
      </c>
      <c r="D203" s="17">
        <f>0.5*(TablaOcurrencia_APMT_16sectores!G202+TablaOcurrencia_APMT_16sectores!H202)</f>
        <v>11</v>
      </c>
      <c r="E203" s="17">
        <f>TablaOcurrencia_APMT_16sectores!K202</f>
        <v>297.36363636363598</v>
      </c>
      <c r="F203" s="17">
        <f>TablaOcurrencia_APMT_16sectores!I202</f>
        <v>1.7245455181818099</v>
      </c>
      <c r="G203" s="17">
        <f>TablaOcurrencia_APMT_16sectores!J202</f>
        <v>11.143030143675499</v>
      </c>
      <c r="H203" s="18">
        <f>TablaOcurrencia_APMT_16sectores!M202</f>
        <v>2.7484402601523635E-5</v>
      </c>
      <c r="I203" s="19">
        <f>TablaOcurrencia_APMT_16sectores!N202</f>
        <v>1.0031806949556127E-2</v>
      </c>
    </row>
    <row r="204" spans="1:9" ht="15.6" x14ac:dyDescent="0.3">
      <c r="A204" s="16" t="str">
        <f>TablaOcurrencia_APMT_16sectores!B203</f>
        <v>SSE</v>
      </c>
      <c r="B204" s="17">
        <f>0.5*(TablaOcurrencia_APMT_16sectores!C203+TablaOcurrencia_APMT_16sectores!D203)</f>
        <v>168.75</v>
      </c>
      <c r="C204" s="17">
        <f>0.5*(TablaOcurrencia_APMT_16sectores!E203+TablaOcurrencia_APMT_16sectores!F203)</f>
        <v>0.75</v>
      </c>
      <c r="D204" s="17">
        <f>0.5*(TablaOcurrencia_APMT_16sectores!G203+TablaOcurrencia_APMT_16sectores!H203)</f>
        <v>17</v>
      </c>
      <c r="E204" s="17">
        <f>TablaOcurrencia_APMT_16sectores!K203</f>
        <v>169.2</v>
      </c>
      <c r="F204" s="17">
        <f>TablaOcurrencia_APMT_16sectores!I203</f>
        <v>0.70320003799999997</v>
      </c>
      <c r="G204" s="17">
        <f>TablaOcurrencia_APMT_16sectores!J203</f>
        <v>16.764435363038199</v>
      </c>
      <c r="H204" s="18">
        <f>TablaOcurrencia_APMT_16sectores!M203</f>
        <v>2.4985820546839668E-5</v>
      </c>
      <c r="I204" s="19">
        <f>TablaOcurrencia_APMT_16sectores!N203</f>
        <v>9.1198244995964791E-3</v>
      </c>
    </row>
    <row r="205" spans="1:9" ht="15.6" x14ac:dyDescent="0.3">
      <c r="A205" s="16" t="str">
        <f>TablaOcurrencia_APMT_16sectores!B204</f>
        <v>S</v>
      </c>
      <c r="B205" s="17">
        <f>0.5*(TablaOcurrencia_APMT_16sectores!C204+TablaOcurrencia_APMT_16sectores!D204)</f>
        <v>191.25</v>
      </c>
      <c r="C205" s="17">
        <f>0.5*(TablaOcurrencia_APMT_16sectores!E204+TablaOcurrencia_APMT_16sectores!F204)</f>
        <v>1.25</v>
      </c>
      <c r="D205" s="17">
        <f>0.5*(TablaOcurrencia_APMT_16sectores!G204+TablaOcurrencia_APMT_16sectores!H204)</f>
        <v>19</v>
      </c>
      <c r="E205" s="17">
        <f>TablaOcurrencia_APMT_16sectores!K204</f>
        <v>190</v>
      </c>
      <c r="F205" s="17">
        <f>TablaOcurrencia_APMT_16sectores!I204</f>
        <v>1.44820007</v>
      </c>
      <c r="G205" s="17">
        <f>TablaOcurrencia_APMT_16sectores!J204</f>
        <v>19.165003762101499</v>
      </c>
      <c r="H205" s="18">
        <f>TablaOcurrencia_APMT_16sectores!M204</f>
        <v>2.4985820546839668E-5</v>
      </c>
      <c r="I205" s="19">
        <f>TablaOcurrencia_APMT_16sectores!N204</f>
        <v>9.1198244995964791E-3</v>
      </c>
    </row>
    <row r="206" spans="1:9" ht="15.6" x14ac:dyDescent="0.3">
      <c r="A206" s="16" t="str">
        <f>TablaOcurrencia_APMT_16sectores!B205</f>
        <v>SSW</v>
      </c>
      <c r="B206" s="17">
        <f>0.5*(TablaOcurrencia_APMT_16sectores!C205+TablaOcurrencia_APMT_16sectores!D205)</f>
        <v>213.75</v>
      </c>
      <c r="C206" s="17">
        <f>0.5*(TablaOcurrencia_APMT_16sectores!E205+TablaOcurrencia_APMT_16sectores!F205)</f>
        <v>1.75</v>
      </c>
      <c r="D206" s="17">
        <f>0.5*(TablaOcurrencia_APMT_16sectores!G205+TablaOcurrencia_APMT_16sectores!H205)</f>
        <v>3</v>
      </c>
      <c r="E206" s="17">
        <f>TablaOcurrencia_APMT_16sectores!K205</f>
        <v>213.3</v>
      </c>
      <c r="F206" s="17">
        <f>TablaOcurrencia_APMT_16sectores!I205</f>
        <v>1.8954000600000001</v>
      </c>
      <c r="G206" s="17">
        <f>TablaOcurrencia_APMT_16sectores!J205</f>
        <v>3.7702917378930398</v>
      </c>
      <c r="H206" s="18">
        <f>TablaOcurrencia_APMT_16sectores!M205</f>
        <v>2.4985820546839668E-5</v>
      </c>
      <c r="I206" s="19">
        <f>TablaOcurrencia_APMT_16sectores!N205</f>
        <v>9.1198244995964791E-3</v>
      </c>
    </row>
    <row r="207" spans="1:9" ht="15.6" x14ac:dyDescent="0.3">
      <c r="A207" s="16" t="str">
        <f>TablaOcurrencia_APMT_16sectores!B206</f>
        <v>SW</v>
      </c>
      <c r="B207" s="17">
        <f>0.5*(TablaOcurrencia_APMT_16sectores!C206+TablaOcurrencia_APMT_16sectores!D206)</f>
        <v>236.25</v>
      </c>
      <c r="C207" s="17">
        <f>0.5*(TablaOcurrencia_APMT_16sectores!E206+TablaOcurrencia_APMT_16sectores!F206)</f>
        <v>1.25</v>
      </c>
      <c r="D207" s="17">
        <f>0.5*(TablaOcurrencia_APMT_16sectores!G206+TablaOcurrencia_APMT_16sectores!H206)</f>
        <v>9</v>
      </c>
      <c r="E207" s="17">
        <f>TablaOcurrencia_APMT_16sectores!K206</f>
        <v>228.9</v>
      </c>
      <c r="F207" s="17">
        <f>TablaOcurrencia_APMT_16sectores!I206</f>
        <v>1.31480006</v>
      </c>
      <c r="G207" s="17">
        <f>TablaOcurrencia_APMT_16sectores!J206</f>
        <v>9.6453477580985094</v>
      </c>
      <c r="H207" s="18">
        <f>TablaOcurrencia_APMT_16sectores!M206</f>
        <v>2.4985820546839668E-5</v>
      </c>
      <c r="I207" s="19">
        <f>TablaOcurrencia_APMT_16sectores!N206</f>
        <v>9.1198244995964791E-3</v>
      </c>
    </row>
    <row r="208" spans="1:9" ht="15.6" x14ac:dyDescent="0.3">
      <c r="A208" s="16" t="str">
        <f>TablaOcurrencia_APMT_16sectores!B207</f>
        <v>SSE</v>
      </c>
      <c r="B208" s="17">
        <f>0.5*(TablaOcurrencia_APMT_16sectores!C207+TablaOcurrencia_APMT_16sectores!D207)</f>
        <v>168.75</v>
      </c>
      <c r="C208" s="17">
        <f>0.5*(TablaOcurrencia_APMT_16sectores!E207+TablaOcurrencia_APMT_16sectores!F207)</f>
        <v>0.75</v>
      </c>
      <c r="D208" s="17">
        <f>0.5*(TablaOcurrencia_APMT_16sectores!G207+TablaOcurrencia_APMT_16sectores!H207)</f>
        <v>7</v>
      </c>
      <c r="E208" s="17">
        <f>TablaOcurrencia_APMT_16sectores!K207</f>
        <v>173.555555555555</v>
      </c>
      <c r="F208" s="17">
        <f>TablaOcurrencia_APMT_16sectores!I207</f>
        <v>0.84422225333333301</v>
      </c>
      <c r="G208" s="17">
        <f>TablaOcurrencia_APMT_16sectores!J207</f>
        <v>8</v>
      </c>
      <c r="H208" s="18">
        <f>TablaOcurrencia_APMT_16sectores!M207</f>
        <v>2.2487238492155701E-5</v>
      </c>
      <c r="I208" s="19">
        <f>TablaOcurrencia_APMT_16sectores!N207</f>
        <v>8.207842049636831E-3</v>
      </c>
    </row>
    <row r="209" spans="1:9" ht="15.6" x14ac:dyDescent="0.3">
      <c r="A209" s="16" t="str">
        <f>TablaOcurrencia_APMT_16sectores!B208</f>
        <v>SSE</v>
      </c>
      <c r="B209" s="17">
        <f>0.5*(TablaOcurrencia_APMT_16sectores!C208+TablaOcurrencia_APMT_16sectores!D208)</f>
        <v>168.75</v>
      </c>
      <c r="C209" s="17">
        <f>0.5*(TablaOcurrencia_APMT_16sectores!E208+TablaOcurrencia_APMT_16sectores!F208)</f>
        <v>0.75</v>
      </c>
      <c r="D209" s="17">
        <f>0.5*(TablaOcurrencia_APMT_16sectores!G208+TablaOcurrencia_APMT_16sectores!H208)</f>
        <v>3</v>
      </c>
      <c r="E209" s="17">
        <f>TablaOcurrencia_APMT_16sectores!K208</f>
        <v>165.625</v>
      </c>
      <c r="F209" s="17">
        <f>TablaOcurrencia_APMT_16sectores!I208</f>
        <v>0.63675001874999904</v>
      </c>
      <c r="G209" s="17">
        <f>TablaOcurrencia_APMT_16sectores!J208</f>
        <v>3.68287216258428</v>
      </c>
      <c r="H209" s="18">
        <f>TablaOcurrencia_APMT_16sectores!M208</f>
        <v>1.9988656437471735E-5</v>
      </c>
      <c r="I209" s="19">
        <f>TablaOcurrencia_APMT_16sectores!N208</f>
        <v>7.2958595996771829E-3</v>
      </c>
    </row>
    <row r="210" spans="1:9" ht="15.6" x14ac:dyDescent="0.3">
      <c r="A210" s="16" t="str">
        <f>TablaOcurrencia_APMT_16sectores!B209</f>
        <v>SSE</v>
      </c>
      <c r="B210" s="17">
        <f>0.5*(TablaOcurrencia_APMT_16sectores!C209+TablaOcurrencia_APMT_16sectores!D209)</f>
        <v>168.75</v>
      </c>
      <c r="C210" s="17">
        <f>0.5*(TablaOcurrencia_APMT_16sectores!E209+TablaOcurrencia_APMT_16sectores!F209)</f>
        <v>1.25</v>
      </c>
      <c r="D210" s="17">
        <f>0.5*(TablaOcurrencia_APMT_16sectores!G209+TablaOcurrencia_APMT_16sectores!H209)</f>
        <v>19</v>
      </c>
      <c r="E210" s="17">
        <f>TablaOcurrencia_APMT_16sectores!K209</f>
        <v>160.25</v>
      </c>
      <c r="F210" s="17">
        <f>TablaOcurrencia_APMT_16sectores!I209</f>
        <v>1.1840000749999999</v>
      </c>
      <c r="G210" s="17">
        <f>TablaOcurrencia_APMT_16sectores!J209</f>
        <v>19.140057481720799</v>
      </c>
      <c r="H210" s="18">
        <f>TablaOcurrencia_APMT_16sectores!M209</f>
        <v>1.9988656437471735E-5</v>
      </c>
      <c r="I210" s="19">
        <f>TablaOcurrencia_APMT_16sectores!N209</f>
        <v>7.2958595996771829E-3</v>
      </c>
    </row>
    <row r="211" spans="1:9" ht="15.6" x14ac:dyDescent="0.3">
      <c r="A211" s="16" t="str">
        <f>TablaOcurrencia_APMT_16sectores!B210</f>
        <v>SSW</v>
      </c>
      <c r="B211" s="17">
        <f>0.5*(TablaOcurrencia_APMT_16sectores!C210+TablaOcurrencia_APMT_16sectores!D210)</f>
        <v>213.75</v>
      </c>
      <c r="C211" s="17">
        <f>0.5*(TablaOcurrencia_APMT_16sectores!E210+TablaOcurrencia_APMT_16sectores!F210)</f>
        <v>2.75</v>
      </c>
      <c r="D211" s="17">
        <f>0.5*(TablaOcurrencia_APMT_16sectores!G210+TablaOcurrencia_APMT_16sectores!H210)</f>
        <v>25</v>
      </c>
      <c r="E211" s="17">
        <f>TablaOcurrencia_APMT_16sectores!K210</f>
        <v>219.375</v>
      </c>
      <c r="F211" s="17">
        <f>TablaOcurrencia_APMT_16sectores!I210</f>
        <v>2.5505000375</v>
      </c>
      <c r="G211" s="17">
        <f>TablaOcurrencia_APMT_16sectores!J210</f>
        <v>25.4045490163961</v>
      </c>
      <c r="H211" s="18">
        <f>TablaOcurrencia_APMT_16sectores!M210</f>
        <v>1.9988656437471735E-5</v>
      </c>
      <c r="I211" s="19">
        <f>TablaOcurrencia_APMT_16sectores!N210</f>
        <v>7.2958595996771829E-3</v>
      </c>
    </row>
    <row r="212" spans="1:9" ht="15.6" x14ac:dyDescent="0.3">
      <c r="A212" s="16" t="str">
        <f>TablaOcurrencia_APMT_16sectores!B211</f>
        <v>SW</v>
      </c>
      <c r="B212" s="17">
        <f>0.5*(TablaOcurrencia_APMT_16sectores!C211+TablaOcurrencia_APMT_16sectores!D211)</f>
        <v>236.25</v>
      </c>
      <c r="C212" s="17">
        <f>0.5*(TablaOcurrencia_APMT_16sectores!E211+TablaOcurrencia_APMT_16sectores!F211)</f>
        <v>2.25</v>
      </c>
      <c r="D212" s="17">
        <f>0.5*(TablaOcurrencia_APMT_16sectores!G211+TablaOcurrencia_APMT_16sectores!H211)</f>
        <v>23</v>
      </c>
      <c r="E212" s="17">
        <f>TablaOcurrencia_APMT_16sectores!K211</f>
        <v>230.125</v>
      </c>
      <c r="F212" s="17">
        <f>TablaOcurrencia_APMT_16sectores!I211</f>
        <v>2.2405000249999998</v>
      </c>
      <c r="G212" s="17">
        <f>TablaOcurrencia_APMT_16sectores!J211</f>
        <v>23.397386204632099</v>
      </c>
      <c r="H212" s="18">
        <f>TablaOcurrencia_APMT_16sectores!M211</f>
        <v>1.9988656437471735E-5</v>
      </c>
      <c r="I212" s="19">
        <f>TablaOcurrencia_APMT_16sectores!N211</f>
        <v>7.2958595996771829E-3</v>
      </c>
    </row>
    <row r="213" spans="1:9" ht="15.6" x14ac:dyDescent="0.3">
      <c r="A213" s="16" t="str">
        <f>TablaOcurrencia_APMT_16sectores!B212</f>
        <v>WSW</v>
      </c>
      <c r="B213" s="17">
        <f>0.5*(TablaOcurrencia_APMT_16sectores!C212+TablaOcurrencia_APMT_16sectores!D212)</f>
        <v>258.75</v>
      </c>
      <c r="C213" s="17">
        <f>0.5*(TablaOcurrencia_APMT_16sectores!E212+TablaOcurrencia_APMT_16sectores!F212)</f>
        <v>1.25</v>
      </c>
      <c r="D213" s="17">
        <f>0.5*(TablaOcurrencia_APMT_16sectores!G212+TablaOcurrencia_APMT_16sectores!H212)</f>
        <v>19</v>
      </c>
      <c r="E213" s="17">
        <f>TablaOcurrencia_APMT_16sectores!K212</f>
        <v>258.625</v>
      </c>
      <c r="F213" s="17">
        <f>TablaOcurrencia_APMT_16sectores!I212</f>
        <v>1.3800000625</v>
      </c>
      <c r="G213" s="17">
        <f>TablaOcurrencia_APMT_16sectores!J212</f>
        <v>18.965262835233901</v>
      </c>
      <c r="H213" s="18">
        <f>TablaOcurrencia_APMT_16sectores!M212</f>
        <v>1.9988656437471735E-5</v>
      </c>
      <c r="I213" s="19">
        <f>TablaOcurrencia_APMT_16sectores!N212</f>
        <v>7.2958595996771829E-3</v>
      </c>
    </row>
    <row r="214" spans="1:9" ht="15.6" x14ac:dyDescent="0.3">
      <c r="A214" s="16" t="str">
        <f>TablaOcurrencia_APMT_16sectores!B213</f>
        <v>S</v>
      </c>
      <c r="B214" s="17">
        <f>0.5*(TablaOcurrencia_APMT_16sectores!C213+TablaOcurrencia_APMT_16sectores!D213)</f>
        <v>191.25</v>
      </c>
      <c r="C214" s="17">
        <f>0.5*(TablaOcurrencia_APMT_16sectores!E213+TablaOcurrencia_APMT_16sectores!F213)</f>
        <v>3.25</v>
      </c>
      <c r="D214" s="17">
        <f>0.5*(TablaOcurrencia_APMT_16sectores!G213+TablaOcurrencia_APMT_16sectores!H213)</f>
        <v>7</v>
      </c>
      <c r="E214" s="17">
        <f>TablaOcurrencia_APMT_16sectores!K213</f>
        <v>183.42857142857099</v>
      </c>
      <c r="F214" s="17">
        <f>TablaOcurrencia_APMT_16sectores!I213</f>
        <v>3.08428585714285</v>
      </c>
      <c r="G214" s="17">
        <f>TablaOcurrencia_APMT_16sectores!J213</f>
        <v>7.93679348857885</v>
      </c>
      <c r="H214" s="18">
        <f>TablaOcurrencia_APMT_16sectores!M213</f>
        <v>1.7490074382787768E-5</v>
      </c>
      <c r="I214" s="19">
        <f>TablaOcurrencia_APMT_16sectores!N213</f>
        <v>6.3838771497175357E-3</v>
      </c>
    </row>
    <row r="215" spans="1:9" ht="15.6" x14ac:dyDescent="0.3">
      <c r="A215" s="16" t="str">
        <f>TablaOcurrencia_APMT_16sectores!B214</f>
        <v>SW</v>
      </c>
      <c r="B215" s="17">
        <f>0.5*(TablaOcurrencia_APMT_16sectores!C214+TablaOcurrencia_APMT_16sectores!D214)</f>
        <v>236.25</v>
      </c>
      <c r="C215" s="17">
        <f>0.5*(TablaOcurrencia_APMT_16sectores!E214+TablaOcurrencia_APMT_16sectores!F214)</f>
        <v>3.25</v>
      </c>
      <c r="D215" s="17">
        <f>0.5*(TablaOcurrencia_APMT_16sectores!G214+TablaOcurrencia_APMT_16sectores!H214)</f>
        <v>21</v>
      </c>
      <c r="E215" s="17">
        <f>TablaOcurrencia_APMT_16sectores!K214</f>
        <v>237.42857142857099</v>
      </c>
      <c r="F215" s="17">
        <f>TablaOcurrencia_APMT_16sectores!I214</f>
        <v>3.19485725714285</v>
      </c>
      <c r="G215" s="17">
        <f>TablaOcurrencia_APMT_16sectores!J214</f>
        <v>21.213271696146499</v>
      </c>
      <c r="H215" s="18">
        <f>TablaOcurrencia_APMT_16sectores!M214</f>
        <v>1.7490074382787768E-5</v>
      </c>
      <c r="I215" s="19">
        <f>TablaOcurrencia_APMT_16sectores!N214</f>
        <v>6.3838771497175357E-3</v>
      </c>
    </row>
    <row r="216" spans="1:9" ht="15.6" x14ac:dyDescent="0.3">
      <c r="A216" s="16" t="str">
        <f>TablaOcurrencia_APMT_16sectores!B215</f>
        <v>SSE</v>
      </c>
      <c r="B216" s="17">
        <f>0.5*(TablaOcurrencia_APMT_16sectores!C215+TablaOcurrencia_APMT_16sectores!D215)</f>
        <v>168.75</v>
      </c>
      <c r="C216" s="17">
        <f>0.5*(TablaOcurrencia_APMT_16sectores!E215+TablaOcurrencia_APMT_16sectores!F215)</f>
        <v>1.75</v>
      </c>
      <c r="D216" s="17">
        <f>0.5*(TablaOcurrencia_APMT_16sectores!G215+TablaOcurrencia_APMT_16sectores!H215)</f>
        <v>5</v>
      </c>
      <c r="E216" s="17">
        <f>TablaOcurrencia_APMT_16sectores!K215</f>
        <v>171</v>
      </c>
      <c r="F216" s="17">
        <f>TablaOcurrencia_APMT_16sectores!I215</f>
        <v>1.7163333999999999</v>
      </c>
      <c r="G216" s="17">
        <f>TablaOcurrencia_APMT_16sectores!J215</f>
        <v>5.6292325995810604</v>
      </c>
      <c r="H216" s="18">
        <f>TablaOcurrencia_APMT_16sectores!M215</f>
        <v>1.4991492328103801E-5</v>
      </c>
      <c r="I216" s="19">
        <f>TablaOcurrencia_APMT_16sectores!N215</f>
        <v>5.4718946997578876E-3</v>
      </c>
    </row>
    <row r="217" spans="1:9" ht="15.6" x14ac:dyDescent="0.3">
      <c r="A217" s="16" t="str">
        <f>TablaOcurrencia_APMT_16sectores!B216</f>
        <v>SSE</v>
      </c>
      <c r="B217" s="17">
        <f>0.5*(TablaOcurrencia_APMT_16sectores!C216+TablaOcurrencia_APMT_16sectores!D216)</f>
        <v>168.75</v>
      </c>
      <c r="C217" s="17">
        <f>0.5*(TablaOcurrencia_APMT_16sectores!E216+TablaOcurrencia_APMT_16sectores!F216)</f>
        <v>4.75</v>
      </c>
      <c r="D217" s="17">
        <f>0.5*(TablaOcurrencia_APMT_16sectores!G216+TablaOcurrencia_APMT_16sectores!H216)</f>
        <v>9</v>
      </c>
      <c r="E217" s="17">
        <f>TablaOcurrencia_APMT_16sectores!K216</f>
        <v>178</v>
      </c>
      <c r="F217" s="17">
        <f>TablaOcurrencia_APMT_16sectores!I216</f>
        <v>4.6446668500000001</v>
      </c>
      <c r="G217" s="17">
        <f>TablaOcurrencia_APMT_16sectores!J216</f>
        <v>9.9669964854161694</v>
      </c>
      <c r="H217" s="18">
        <f>TablaOcurrencia_APMT_16sectores!M216</f>
        <v>1.4991492328103801E-5</v>
      </c>
      <c r="I217" s="19">
        <f>TablaOcurrencia_APMT_16sectores!N216</f>
        <v>5.4718946997578876E-3</v>
      </c>
    </row>
    <row r="218" spans="1:9" ht="15.6" x14ac:dyDescent="0.3">
      <c r="A218" s="16" t="str">
        <f>TablaOcurrencia_APMT_16sectores!B217</f>
        <v>S</v>
      </c>
      <c r="B218" s="17">
        <f>0.5*(TablaOcurrencia_APMT_16sectores!C217+TablaOcurrencia_APMT_16sectores!D217)</f>
        <v>191.25</v>
      </c>
      <c r="C218" s="17">
        <f>0.5*(TablaOcurrencia_APMT_16sectores!E217+TablaOcurrencia_APMT_16sectores!F217)</f>
        <v>4.25</v>
      </c>
      <c r="D218" s="17">
        <f>0.5*(TablaOcurrencia_APMT_16sectores!G217+TablaOcurrencia_APMT_16sectores!H217)</f>
        <v>11</v>
      </c>
      <c r="E218" s="17">
        <f>TablaOcurrencia_APMT_16sectores!K217</f>
        <v>182.333333333333</v>
      </c>
      <c r="F218" s="17">
        <f>TablaOcurrencia_APMT_16sectores!I217</f>
        <v>4.2676667333333302</v>
      </c>
      <c r="G218" s="17">
        <f>TablaOcurrencia_APMT_16sectores!J217</f>
        <v>10.9116051453494</v>
      </c>
      <c r="H218" s="18">
        <f>TablaOcurrencia_APMT_16sectores!M217</f>
        <v>1.4991492328103801E-5</v>
      </c>
      <c r="I218" s="19">
        <f>TablaOcurrencia_APMT_16sectores!N217</f>
        <v>5.4718946997578876E-3</v>
      </c>
    </row>
    <row r="219" spans="1:9" ht="15.6" x14ac:dyDescent="0.3">
      <c r="A219" s="16" t="str">
        <f>TablaOcurrencia_APMT_16sectores!B218</f>
        <v>SSW</v>
      </c>
      <c r="B219" s="17">
        <f>0.5*(TablaOcurrencia_APMT_16sectores!C218+TablaOcurrencia_APMT_16sectores!D218)</f>
        <v>213.75</v>
      </c>
      <c r="C219" s="17">
        <f>0.5*(TablaOcurrencia_APMT_16sectores!E218+TablaOcurrencia_APMT_16sectores!F218)</f>
        <v>0.75</v>
      </c>
      <c r="D219" s="17">
        <f>0.5*(TablaOcurrencia_APMT_16sectores!G218+TablaOcurrencia_APMT_16sectores!H218)</f>
        <v>13</v>
      </c>
      <c r="E219" s="17">
        <f>TablaOcurrencia_APMT_16sectores!K218</f>
        <v>216.5</v>
      </c>
      <c r="F219" s="17">
        <f>TablaOcurrencia_APMT_16sectores!I218</f>
        <v>0.95266671666666602</v>
      </c>
      <c r="G219" s="17">
        <f>TablaOcurrencia_APMT_16sectores!J218</f>
        <v>13.219473003374899</v>
      </c>
      <c r="H219" s="18">
        <f>TablaOcurrencia_APMT_16sectores!M218</f>
        <v>1.4991492328103801E-5</v>
      </c>
      <c r="I219" s="19">
        <f>TablaOcurrencia_APMT_16sectores!N218</f>
        <v>5.4718946997578876E-3</v>
      </c>
    </row>
    <row r="220" spans="1:9" ht="15.6" x14ac:dyDescent="0.3">
      <c r="A220" s="16" t="str">
        <f>TablaOcurrencia_APMT_16sectores!B219</f>
        <v>SW</v>
      </c>
      <c r="B220" s="17">
        <f>0.5*(TablaOcurrencia_APMT_16sectores!C219+TablaOcurrencia_APMT_16sectores!D219)</f>
        <v>236.25</v>
      </c>
      <c r="C220" s="17">
        <f>0.5*(TablaOcurrencia_APMT_16sectores!E219+TablaOcurrencia_APMT_16sectores!F219)</f>
        <v>3.25</v>
      </c>
      <c r="D220" s="17">
        <f>0.5*(TablaOcurrencia_APMT_16sectores!G219+TablaOcurrencia_APMT_16sectores!H219)</f>
        <v>13</v>
      </c>
      <c r="E220" s="17">
        <f>TablaOcurrencia_APMT_16sectores!K219</f>
        <v>226.5</v>
      </c>
      <c r="F220" s="17">
        <f>TablaOcurrencia_APMT_16sectores!I219</f>
        <v>3.1166668666666602</v>
      </c>
      <c r="G220" s="17">
        <f>TablaOcurrencia_APMT_16sectores!J219</f>
        <v>13.157893870015601</v>
      </c>
      <c r="H220" s="18">
        <f>TablaOcurrencia_APMT_16sectores!M219</f>
        <v>1.4991492328103801E-5</v>
      </c>
      <c r="I220" s="19">
        <f>TablaOcurrencia_APMT_16sectores!N219</f>
        <v>5.4718946997578876E-3</v>
      </c>
    </row>
    <row r="221" spans="1:9" ht="15.6" x14ac:dyDescent="0.3">
      <c r="A221" s="16" t="str">
        <f>TablaOcurrencia_APMT_16sectores!B220</f>
        <v>S</v>
      </c>
      <c r="B221" s="17">
        <f>0.5*(TablaOcurrencia_APMT_16sectores!C220+TablaOcurrencia_APMT_16sectores!D220)</f>
        <v>191.25</v>
      </c>
      <c r="C221" s="17">
        <f>0.5*(TablaOcurrencia_APMT_16sectores!E220+TablaOcurrencia_APMT_16sectores!F220)</f>
        <v>1.25</v>
      </c>
      <c r="D221" s="17">
        <f>0.5*(TablaOcurrencia_APMT_16sectores!G220+TablaOcurrencia_APMT_16sectores!H220)</f>
        <v>21</v>
      </c>
      <c r="E221" s="17">
        <f>TablaOcurrencia_APMT_16sectores!K220</f>
        <v>198.4</v>
      </c>
      <c r="F221" s="17">
        <f>TablaOcurrencia_APMT_16sectores!I220</f>
        <v>1.4612000599999999</v>
      </c>
      <c r="G221" s="17">
        <f>TablaOcurrencia_APMT_16sectores!J220</f>
        <v>21.4616083248766</v>
      </c>
      <c r="H221" s="18">
        <f>TablaOcurrencia_APMT_16sectores!M220</f>
        <v>1.2492910273419834E-5</v>
      </c>
      <c r="I221" s="19">
        <f>TablaOcurrencia_APMT_16sectores!N220</f>
        <v>4.5599122497982396E-3</v>
      </c>
    </row>
    <row r="222" spans="1:9" ht="15.6" x14ac:dyDescent="0.3">
      <c r="A222" s="16" t="str">
        <f>TablaOcurrencia_APMT_16sectores!B221</f>
        <v>S</v>
      </c>
      <c r="B222" s="17">
        <f>0.5*(TablaOcurrencia_APMT_16sectores!C221+TablaOcurrencia_APMT_16sectores!D221)</f>
        <v>191.25</v>
      </c>
      <c r="C222" s="17">
        <f>0.5*(TablaOcurrencia_APMT_16sectores!E221+TablaOcurrencia_APMT_16sectores!F221)</f>
        <v>2.75</v>
      </c>
      <c r="D222" s="17">
        <f>0.5*(TablaOcurrencia_APMT_16sectores!G221+TablaOcurrencia_APMT_16sectores!H221)</f>
        <v>23</v>
      </c>
      <c r="E222" s="17">
        <f>TablaOcurrencia_APMT_16sectores!K221</f>
        <v>191.8</v>
      </c>
      <c r="F222" s="17">
        <f>TablaOcurrencia_APMT_16sectores!I221</f>
        <v>2.7412001199999998</v>
      </c>
      <c r="G222" s="17">
        <f>TablaOcurrencia_APMT_16sectores!J221</f>
        <v>22.943386351300099</v>
      </c>
      <c r="H222" s="18">
        <f>TablaOcurrencia_APMT_16sectores!M221</f>
        <v>1.2492910273419834E-5</v>
      </c>
      <c r="I222" s="19">
        <f>TablaOcurrencia_APMT_16sectores!N221</f>
        <v>4.5599122497982396E-3</v>
      </c>
    </row>
    <row r="223" spans="1:9" ht="15.6" x14ac:dyDescent="0.3">
      <c r="A223" s="16" t="str">
        <f>TablaOcurrencia_APMT_16sectores!B222</f>
        <v>S</v>
      </c>
      <c r="B223" s="17">
        <f>0.5*(TablaOcurrencia_APMT_16sectores!C222+TablaOcurrencia_APMT_16sectores!D222)</f>
        <v>191.25</v>
      </c>
      <c r="C223" s="17">
        <f>0.5*(TablaOcurrencia_APMT_16sectores!E222+TablaOcurrencia_APMT_16sectores!F222)</f>
        <v>4.75</v>
      </c>
      <c r="D223" s="17">
        <f>0.5*(TablaOcurrencia_APMT_16sectores!G222+TablaOcurrencia_APMT_16sectores!H222)</f>
        <v>17</v>
      </c>
      <c r="E223" s="17">
        <f>TablaOcurrencia_APMT_16sectores!K222</f>
        <v>201.8</v>
      </c>
      <c r="F223" s="17">
        <f>TablaOcurrencia_APMT_16sectores!I222</f>
        <v>4.5552001999999998</v>
      </c>
      <c r="G223" s="17">
        <f>TablaOcurrencia_APMT_16sectores!J222</f>
        <v>17.148323780673099</v>
      </c>
      <c r="H223" s="18">
        <f>TablaOcurrencia_APMT_16sectores!M222</f>
        <v>1.2492910273419834E-5</v>
      </c>
      <c r="I223" s="19">
        <f>TablaOcurrencia_APMT_16sectores!N222</f>
        <v>4.5599122497982396E-3</v>
      </c>
    </row>
    <row r="224" spans="1:9" ht="15.6" x14ac:dyDescent="0.3">
      <c r="A224" s="16" t="str">
        <f>TablaOcurrencia_APMT_16sectores!B223</f>
        <v>SSW</v>
      </c>
      <c r="B224" s="17">
        <f>0.5*(TablaOcurrencia_APMT_16sectores!C223+TablaOcurrencia_APMT_16sectores!D223)</f>
        <v>213.75</v>
      </c>
      <c r="C224" s="17">
        <f>0.5*(TablaOcurrencia_APMT_16sectores!E223+TablaOcurrencia_APMT_16sectores!F223)</f>
        <v>1.25</v>
      </c>
      <c r="D224" s="17">
        <f>0.5*(TablaOcurrencia_APMT_16sectores!G223+TablaOcurrencia_APMT_16sectores!H223)</f>
        <v>23</v>
      </c>
      <c r="E224" s="17">
        <f>TablaOcurrencia_APMT_16sectores!K223</f>
        <v>215.4</v>
      </c>
      <c r="F224" s="17">
        <f>TablaOcurrencia_APMT_16sectores!I223</f>
        <v>1.4400000399999999</v>
      </c>
      <c r="G224" s="17">
        <f>TablaOcurrencia_APMT_16sectores!J223</f>
        <v>23.3665549346983</v>
      </c>
      <c r="H224" s="18">
        <f>TablaOcurrencia_APMT_16sectores!M223</f>
        <v>1.2492910273419834E-5</v>
      </c>
      <c r="I224" s="19">
        <f>TablaOcurrencia_APMT_16sectores!N223</f>
        <v>4.5599122497982396E-3</v>
      </c>
    </row>
    <row r="225" spans="1:9" ht="15.6" x14ac:dyDescent="0.3">
      <c r="A225" s="16" t="str">
        <f>TablaOcurrencia_APMT_16sectores!B224</f>
        <v>SW</v>
      </c>
      <c r="B225" s="17">
        <f>0.5*(TablaOcurrencia_APMT_16sectores!C224+TablaOcurrencia_APMT_16sectores!D224)</f>
        <v>236.25</v>
      </c>
      <c r="C225" s="17">
        <f>0.5*(TablaOcurrencia_APMT_16sectores!E224+TablaOcurrencia_APMT_16sectores!F224)</f>
        <v>0.75</v>
      </c>
      <c r="D225" s="17">
        <f>0.5*(TablaOcurrencia_APMT_16sectores!G224+TablaOcurrencia_APMT_16sectores!H224)</f>
        <v>11</v>
      </c>
      <c r="E225" s="17">
        <f>TablaOcurrencia_APMT_16sectores!K224</f>
        <v>230.2</v>
      </c>
      <c r="F225" s="17">
        <f>TablaOcurrencia_APMT_16sectores!I224</f>
        <v>0.97480002799999999</v>
      </c>
      <c r="G225" s="17">
        <f>TablaOcurrencia_APMT_16sectores!J224</f>
        <v>10.869564315997801</v>
      </c>
      <c r="H225" s="18">
        <f>TablaOcurrencia_APMT_16sectores!M224</f>
        <v>1.2492910273419834E-5</v>
      </c>
      <c r="I225" s="19">
        <f>TablaOcurrencia_APMT_16sectores!N224</f>
        <v>4.5599122497982396E-3</v>
      </c>
    </row>
    <row r="226" spans="1:9" ht="15.6" x14ac:dyDescent="0.3">
      <c r="A226" s="16" t="str">
        <f>TablaOcurrencia_APMT_16sectores!B225</f>
        <v>WSW</v>
      </c>
      <c r="B226" s="17">
        <f>0.5*(TablaOcurrencia_APMT_16sectores!C225+TablaOcurrencia_APMT_16sectores!D225)</f>
        <v>258.75</v>
      </c>
      <c r="C226" s="17">
        <f>0.5*(TablaOcurrencia_APMT_16sectores!E225+TablaOcurrencia_APMT_16sectores!F225)</f>
        <v>2.25</v>
      </c>
      <c r="D226" s="17">
        <f>0.5*(TablaOcurrencia_APMT_16sectores!G225+TablaOcurrencia_APMT_16sectores!H225)</f>
        <v>21</v>
      </c>
      <c r="E226" s="17">
        <f>TablaOcurrencia_APMT_16sectores!K225</f>
        <v>263.2</v>
      </c>
      <c r="F226" s="17">
        <f>TablaOcurrencia_APMT_16sectores!I225</f>
        <v>2.0256000599999999</v>
      </c>
      <c r="G226" s="17">
        <f>TablaOcurrencia_APMT_16sectores!J225</f>
        <v>21.187942459886301</v>
      </c>
      <c r="H226" s="18">
        <f>TablaOcurrencia_APMT_16sectores!M225</f>
        <v>1.2492910273419834E-5</v>
      </c>
      <c r="I226" s="19">
        <f>TablaOcurrencia_APMT_16sectores!N225</f>
        <v>4.5599122497982396E-3</v>
      </c>
    </row>
    <row r="227" spans="1:9" ht="15.6" x14ac:dyDescent="0.3">
      <c r="A227" s="16" t="str">
        <f>TablaOcurrencia_APMT_16sectores!B226</f>
        <v>WSW</v>
      </c>
      <c r="B227" s="17">
        <f>0.5*(TablaOcurrencia_APMT_16sectores!C226+TablaOcurrencia_APMT_16sectores!D226)</f>
        <v>258.75</v>
      </c>
      <c r="C227" s="17">
        <f>0.5*(TablaOcurrencia_APMT_16sectores!E226+TablaOcurrencia_APMT_16sectores!F226)</f>
        <v>3.25</v>
      </c>
      <c r="D227" s="17">
        <f>0.5*(TablaOcurrencia_APMT_16sectores!G226+TablaOcurrencia_APMT_16sectores!H226)</f>
        <v>17</v>
      </c>
      <c r="E227" s="17">
        <f>TablaOcurrencia_APMT_16sectores!K226</f>
        <v>258.60000000000002</v>
      </c>
      <c r="F227" s="17">
        <f>TablaOcurrencia_APMT_16sectores!I226</f>
        <v>3.05000015999999</v>
      </c>
      <c r="G227" s="17">
        <f>TablaOcurrencia_APMT_16sectores!J226</f>
        <v>17.543858493354101</v>
      </c>
      <c r="H227" s="18">
        <f>TablaOcurrencia_APMT_16sectores!M226</f>
        <v>1.2492910273419834E-5</v>
      </c>
      <c r="I227" s="19">
        <f>TablaOcurrencia_APMT_16sectores!N226</f>
        <v>4.5599122497982396E-3</v>
      </c>
    </row>
    <row r="228" spans="1:9" ht="15.6" x14ac:dyDescent="0.3">
      <c r="A228" s="16" t="str">
        <f>TablaOcurrencia_APMT_16sectores!B227</f>
        <v>SE</v>
      </c>
      <c r="B228" s="17">
        <f>0.5*(TablaOcurrencia_APMT_16sectores!C227+TablaOcurrencia_APMT_16sectores!D227)</f>
        <v>146.25</v>
      </c>
      <c r="C228" s="17">
        <f>0.5*(TablaOcurrencia_APMT_16sectores!E227+TablaOcurrencia_APMT_16sectores!F227)</f>
        <v>0.75</v>
      </c>
      <c r="D228" s="17">
        <f>0.5*(TablaOcurrencia_APMT_16sectores!G227+TablaOcurrencia_APMT_16sectores!H227)</f>
        <v>19</v>
      </c>
      <c r="E228" s="17">
        <f>TablaOcurrencia_APMT_16sectores!K227</f>
        <v>156.5</v>
      </c>
      <c r="F228" s="17">
        <f>TablaOcurrencia_APMT_16sectores!I227</f>
        <v>0.85400001999999997</v>
      </c>
      <c r="G228" s="17">
        <f>TablaOcurrencia_APMT_16sectores!J227</f>
        <v>19.230768833992698</v>
      </c>
      <c r="H228" s="18">
        <f>TablaOcurrencia_APMT_16sectores!M227</f>
        <v>9.9943282187358673E-6</v>
      </c>
      <c r="I228" s="19">
        <f>TablaOcurrencia_APMT_16sectores!N227</f>
        <v>3.6479297998385915E-3</v>
      </c>
    </row>
    <row r="229" spans="1:9" ht="15.6" x14ac:dyDescent="0.3">
      <c r="A229" s="16" t="str">
        <f>TablaOcurrencia_APMT_16sectores!B228</f>
        <v>SSE</v>
      </c>
      <c r="B229" s="17">
        <f>0.5*(TablaOcurrencia_APMT_16sectores!C228+TablaOcurrencia_APMT_16sectores!D228)</f>
        <v>168.75</v>
      </c>
      <c r="C229" s="17">
        <f>0.5*(TablaOcurrencia_APMT_16sectores!E228+TablaOcurrencia_APMT_16sectores!F228)</f>
        <v>1.25</v>
      </c>
      <c r="D229" s="17">
        <f>0.5*(TablaOcurrencia_APMT_16sectores!G228+TablaOcurrencia_APMT_16sectores!H228)</f>
        <v>7</v>
      </c>
      <c r="E229" s="17">
        <f>TablaOcurrencia_APMT_16sectores!K228</f>
        <v>176.5</v>
      </c>
      <c r="F229" s="17">
        <f>TablaOcurrencia_APMT_16sectores!I228</f>
        <v>1.4400000499999901</v>
      </c>
      <c r="G229" s="17">
        <f>TablaOcurrencia_APMT_16sectores!J228</f>
        <v>6.3898414083969604</v>
      </c>
      <c r="H229" s="18">
        <f>TablaOcurrencia_APMT_16sectores!M228</f>
        <v>9.9943282187358673E-6</v>
      </c>
      <c r="I229" s="19">
        <f>TablaOcurrencia_APMT_16sectores!N228</f>
        <v>3.6479297998385915E-3</v>
      </c>
    </row>
    <row r="230" spans="1:9" ht="15.6" x14ac:dyDescent="0.3">
      <c r="A230" s="16" t="str">
        <f>TablaOcurrencia_APMT_16sectores!B229</f>
        <v>SSE</v>
      </c>
      <c r="B230" s="17">
        <f>0.5*(TablaOcurrencia_APMT_16sectores!C229+TablaOcurrencia_APMT_16sectores!D229)</f>
        <v>168.75</v>
      </c>
      <c r="C230" s="17">
        <f>0.5*(TablaOcurrencia_APMT_16sectores!E229+TablaOcurrencia_APMT_16sectores!F229)</f>
        <v>1.75</v>
      </c>
      <c r="D230" s="17">
        <f>0.5*(TablaOcurrencia_APMT_16sectores!G229+TablaOcurrencia_APMT_16sectores!H229)</f>
        <v>13</v>
      </c>
      <c r="E230" s="17">
        <f>TablaOcurrencia_APMT_16sectores!K229</f>
        <v>162.5</v>
      </c>
      <c r="F230" s="17">
        <f>TablaOcurrencia_APMT_16sectores!I229</f>
        <v>1.57000005</v>
      </c>
      <c r="G230" s="17">
        <f>TablaOcurrencia_APMT_16sectores!J229</f>
        <v>12.195121614369899</v>
      </c>
      <c r="H230" s="18">
        <f>TablaOcurrencia_APMT_16sectores!M229</f>
        <v>9.9943282187358673E-6</v>
      </c>
      <c r="I230" s="19">
        <f>TablaOcurrencia_APMT_16sectores!N229</f>
        <v>3.6479297998385915E-3</v>
      </c>
    </row>
    <row r="231" spans="1:9" ht="15.6" x14ac:dyDescent="0.3">
      <c r="A231" s="16" t="str">
        <f>TablaOcurrencia_APMT_16sectores!B230</f>
        <v>S</v>
      </c>
      <c r="B231" s="17">
        <f>0.5*(TablaOcurrencia_APMT_16sectores!C230+TablaOcurrencia_APMT_16sectores!D230)</f>
        <v>191.25</v>
      </c>
      <c r="C231" s="17">
        <f>0.5*(TablaOcurrencia_APMT_16sectores!E230+TablaOcurrencia_APMT_16sectores!F230)</f>
        <v>4.75</v>
      </c>
      <c r="D231" s="17">
        <f>0.5*(TablaOcurrencia_APMT_16sectores!G230+TablaOcurrencia_APMT_16sectores!H230)</f>
        <v>9</v>
      </c>
      <c r="E231" s="17">
        <f>TablaOcurrencia_APMT_16sectores!K230</f>
        <v>182.5</v>
      </c>
      <c r="F231" s="17">
        <f>TablaOcurrencia_APMT_16sectores!I230</f>
        <v>4.5645001499999998</v>
      </c>
      <c r="G231" s="17">
        <f>TablaOcurrencia_APMT_16sectores!J230</f>
        <v>9.8043922441207005</v>
      </c>
      <c r="H231" s="18">
        <f>TablaOcurrencia_APMT_16sectores!M230</f>
        <v>9.9943282187358673E-6</v>
      </c>
      <c r="I231" s="19">
        <f>TablaOcurrencia_APMT_16sectores!N230</f>
        <v>3.6479297998385915E-3</v>
      </c>
    </row>
    <row r="232" spans="1:9" ht="15.6" x14ac:dyDescent="0.3">
      <c r="A232" s="16" t="str">
        <f>TablaOcurrencia_APMT_16sectores!B231</f>
        <v>S</v>
      </c>
      <c r="B232" s="17">
        <f>0.5*(TablaOcurrencia_APMT_16sectores!C231+TablaOcurrencia_APMT_16sectores!D231)</f>
        <v>191.25</v>
      </c>
      <c r="C232" s="17">
        <f>0.5*(TablaOcurrencia_APMT_16sectores!E231+TablaOcurrencia_APMT_16sectores!F231)</f>
        <v>4.75</v>
      </c>
      <c r="D232" s="17">
        <f>0.5*(TablaOcurrencia_APMT_16sectores!G231+TablaOcurrencia_APMT_16sectores!H231)</f>
        <v>11</v>
      </c>
      <c r="E232" s="17">
        <f>TablaOcurrencia_APMT_16sectores!K231</f>
        <v>182.75</v>
      </c>
      <c r="F232" s="17">
        <f>TablaOcurrencia_APMT_16sectores!I231</f>
        <v>4.7075001749999998</v>
      </c>
      <c r="G232" s="17">
        <f>TablaOcurrencia_APMT_16sectores!J231</f>
        <v>10.9387004616013</v>
      </c>
      <c r="H232" s="18">
        <f>TablaOcurrencia_APMT_16sectores!M231</f>
        <v>9.9943282187358673E-6</v>
      </c>
      <c r="I232" s="19">
        <f>TablaOcurrencia_APMT_16sectores!N231</f>
        <v>3.6479297998385915E-3</v>
      </c>
    </row>
    <row r="233" spans="1:9" ht="15.6" x14ac:dyDescent="0.3">
      <c r="A233" s="16" t="str">
        <f>TablaOcurrencia_APMT_16sectores!B232</f>
        <v>SSW</v>
      </c>
      <c r="B233" s="17">
        <f>0.5*(TablaOcurrencia_APMT_16sectores!C232+TablaOcurrencia_APMT_16sectores!D232)</f>
        <v>213.75</v>
      </c>
      <c r="C233" s="17">
        <f>0.5*(TablaOcurrencia_APMT_16sectores!E232+TablaOcurrencia_APMT_16sectores!F232)</f>
        <v>0.75</v>
      </c>
      <c r="D233" s="17">
        <f>0.5*(TablaOcurrencia_APMT_16sectores!G232+TablaOcurrencia_APMT_16sectores!H232)</f>
        <v>11</v>
      </c>
      <c r="E233" s="17">
        <f>TablaOcurrencia_APMT_16sectores!K232</f>
        <v>222.25</v>
      </c>
      <c r="F233" s="17">
        <f>TablaOcurrencia_APMT_16sectores!I232</f>
        <v>0.89650003</v>
      </c>
      <c r="G233" s="17">
        <f>TablaOcurrencia_APMT_16sectores!J232</f>
        <v>11.111110669595201</v>
      </c>
      <c r="H233" s="18">
        <f>TablaOcurrencia_APMT_16sectores!M232</f>
        <v>9.9943282187358673E-6</v>
      </c>
      <c r="I233" s="19">
        <f>TablaOcurrencia_APMT_16sectores!N232</f>
        <v>3.6479297998385915E-3</v>
      </c>
    </row>
    <row r="234" spans="1:9" ht="15.6" x14ac:dyDescent="0.3">
      <c r="A234" s="16" t="str">
        <f>TablaOcurrencia_APMT_16sectores!B233</f>
        <v>SSW</v>
      </c>
      <c r="B234" s="17">
        <f>0.5*(TablaOcurrencia_APMT_16sectores!C233+TablaOcurrencia_APMT_16sectores!D233)</f>
        <v>213.75</v>
      </c>
      <c r="C234" s="17">
        <f>0.5*(TablaOcurrencia_APMT_16sectores!E233+TablaOcurrencia_APMT_16sectores!F233)</f>
        <v>2.75</v>
      </c>
      <c r="D234" s="17">
        <f>0.5*(TablaOcurrencia_APMT_16sectores!G233+TablaOcurrencia_APMT_16sectores!H233)</f>
        <v>9</v>
      </c>
      <c r="E234" s="17">
        <f>TablaOcurrencia_APMT_16sectores!K233</f>
        <v>206</v>
      </c>
      <c r="F234" s="17">
        <f>TablaOcurrencia_APMT_16sectores!I233</f>
        <v>2.7320000000000002</v>
      </c>
      <c r="G234" s="17">
        <f>TablaOcurrencia_APMT_16sectores!J233</f>
        <v>8.1972717110305897</v>
      </c>
      <c r="H234" s="18">
        <f>TablaOcurrencia_APMT_16sectores!M233</f>
        <v>9.9943282187358673E-6</v>
      </c>
      <c r="I234" s="19">
        <f>TablaOcurrencia_APMT_16sectores!N233</f>
        <v>3.6479297998385915E-3</v>
      </c>
    </row>
    <row r="235" spans="1:9" ht="15.6" x14ac:dyDescent="0.3">
      <c r="A235" s="16" t="str">
        <f>TablaOcurrencia_APMT_16sectores!B234</f>
        <v>SSW</v>
      </c>
      <c r="B235" s="17">
        <f>0.5*(TablaOcurrencia_APMT_16sectores!C234+TablaOcurrencia_APMT_16sectores!D234)</f>
        <v>213.75</v>
      </c>
      <c r="C235" s="17">
        <f>0.5*(TablaOcurrencia_APMT_16sectores!E234+TablaOcurrencia_APMT_16sectores!F234)</f>
        <v>4.25</v>
      </c>
      <c r="D235" s="17">
        <f>0.5*(TablaOcurrencia_APMT_16sectores!G234+TablaOcurrencia_APMT_16sectores!H234)</f>
        <v>21</v>
      </c>
      <c r="E235" s="17">
        <f>TablaOcurrencia_APMT_16sectores!K234</f>
        <v>211.75</v>
      </c>
      <c r="F235" s="17">
        <f>TablaOcurrencia_APMT_16sectores!I234</f>
        <v>4.0170003249999997</v>
      </c>
      <c r="G235" s="17">
        <f>TablaOcurrencia_APMT_16sectores!J234</f>
        <v>20.6207476998635</v>
      </c>
      <c r="H235" s="18">
        <f>TablaOcurrencia_APMT_16sectores!M234</f>
        <v>9.9943282187358673E-6</v>
      </c>
      <c r="I235" s="19">
        <f>TablaOcurrencia_APMT_16sectores!N234</f>
        <v>3.6479297998385915E-3</v>
      </c>
    </row>
    <row r="236" spans="1:9" ht="15.6" x14ac:dyDescent="0.3">
      <c r="A236" s="16" t="str">
        <f>TablaOcurrencia_APMT_16sectores!B235</f>
        <v>SW</v>
      </c>
      <c r="B236" s="17">
        <f>0.5*(TablaOcurrencia_APMT_16sectores!C235+TablaOcurrencia_APMT_16sectores!D235)</f>
        <v>236.25</v>
      </c>
      <c r="C236" s="17">
        <f>0.5*(TablaOcurrencia_APMT_16sectores!E235+TablaOcurrencia_APMT_16sectores!F235)</f>
        <v>1.25</v>
      </c>
      <c r="D236" s="17">
        <f>0.5*(TablaOcurrencia_APMT_16sectores!G235+TablaOcurrencia_APMT_16sectores!H235)</f>
        <v>21</v>
      </c>
      <c r="E236" s="17">
        <f>TablaOcurrencia_APMT_16sectores!K235</f>
        <v>230.25</v>
      </c>
      <c r="F236" s="17">
        <f>TablaOcurrencia_APMT_16sectores!I235</f>
        <v>1.3685</v>
      </c>
      <c r="G236" s="17">
        <f>TablaOcurrencia_APMT_16sectores!J235</f>
        <v>21.276594786797201</v>
      </c>
      <c r="H236" s="18">
        <f>TablaOcurrencia_APMT_16sectores!M235</f>
        <v>9.9943282187358673E-6</v>
      </c>
      <c r="I236" s="19">
        <f>TablaOcurrencia_APMT_16sectores!N235</f>
        <v>3.6479297998385915E-3</v>
      </c>
    </row>
    <row r="237" spans="1:9" ht="15.6" x14ac:dyDescent="0.3">
      <c r="A237" s="16" t="str">
        <f>TablaOcurrencia_APMT_16sectores!B236</f>
        <v>SW</v>
      </c>
      <c r="B237" s="17">
        <f>0.5*(TablaOcurrencia_APMT_16sectores!C236+TablaOcurrencia_APMT_16sectores!D236)</f>
        <v>236.25</v>
      </c>
      <c r="C237" s="17">
        <f>0.5*(TablaOcurrencia_APMT_16sectores!E236+TablaOcurrencia_APMT_16sectores!F236)</f>
        <v>1.75</v>
      </c>
      <c r="D237" s="17">
        <f>0.5*(TablaOcurrencia_APMT_16sectores!G236+TablaOcurrencia_APMT_16sectores!H236)</f>
        <v>7</v>
      </c>
      <c r="E237" s="17">
        <f>TablaOcurrencia_APMT_16sectores!K236</f>
        <v>240.25</v>
      </c>
      <c r="F237" s="17">
        <f>TablaOcurrencia_APMT_16sectores!I236</f>
        <v>1.9720001</v>
      </c>
      <c r="G237" s="17">
        <f>TablaOcurrencia_APMT_16sectores!J236</f>
        <v>6.23058958338172</v>
      </c>
      <c r="H237" s="18">
        <f>TablaOcurrencia_APMT_16sectores!M236</f>
        <v>9.9943282187358673E-6</v>
      </c>
      <c r="I237" s="19">
        <f>TablaOcurrencia_APMT_16sectores!N236</f>
        <v>3.6479297998385915E-3</v>
      </c>
    </row>
    <row r="238" spans="1:9" ht="15.6" x14ac:dyDescent="0.3">
      <c r="A238" s="16" t="str">
        <f>TablaOcurrencia_APMT_16sectores!B237</f>
        <v>SW</v>
      </c>
      <c r="B238" s="17">
        <f>0.5*(TablaOcurrencia_APMT_16sectores!C237+TablaOcurrencia_APMT_16sectores!D237)</f>
        <v>236.25</v>
      </c>
      <c r="C238" s="17">
        <f>0.5*(TablaOcurrencia_APMT_16sectores!E237+TablaOcurrencia_APMT_16sectores!F237)</f>
        <v>3.75</v>
      </c>
      <c r="D238" s="17">
        <f>0.5*(TablaOcurrencia_APMT_16sectores!G237+TablaOcurrencia_APMT_16sectores!H237)</f>
        <v>15</v>
      </c>
      <c r="E238" s="17">
        <f>TablaOcurrencia_APMT_16sectores!K237</f>
        <v>226.5</v>
      </c>
      <c r="F238" s="17">
        <f>TablaOcurrencia_APMT_16sectores!I237</f>
        <v>3.58000012499999</v>
      </c>
      <c r="G238" s="17">
        <f>TablaOcurrencia_APMT_16sectores!J237</f>
        <v>15.5649029897564</v>
      </c>
      <c r="H238" s="18">
        <f>TablaOcurrencia_APMT_16sectores!M237</f>
        <v>9.9943282187358673E-6</v>
      </c>
      <c r="I238" s="19">
        <f>TablaOcurrencia_APMT_16sectores!N237</f>
        <v>3.6479297998385915E-3</v>
      </c>
    </row>
    <row r="239" spans="1:9" ht="15.6" x14ac:dyDescent="0.3">
      <c r="A239" s="16" t="str">
        <f>TablaOcurrencia_APMT_16sectores!B238</f>
        <v>SSE</v>
      </c>
      <c r="B239" s="17">
        <f>0.5*(TablaOcurrencia_APMT_16sectores!C238+TablaOcurrencia_APMT_16sectores!D238)</f>
        <v>168.75</v>
      </c>
      <c r="C239" s="17">
        <f>0.5*(TablaOcurrencia_APMT_16sectores!E238+TablaOcurrencia_APMT_16sectores!F238)</f>
        <v>2.25</v>
      </c>
      <c r="D239" s="17">
        <f>0.5*(TablaOcurrencia_APMT_16sectores!G238+TablaOcurrencia_APMT_16sectores!H238)</f>
        <v>13</v>
      </c>
      <c r="E239" s="17">
        <f>TablaOcurrencia_APMT_16sectores!K238</f>
        <v>179.333333333333</v>
      </c>
      <c r="F239" s="17">
        <f>TablaOcurrencia_APMT_16sectores!I238</f>
        <v>2.4266666666666601</v>
      </c>
      <c r="G239" s="17">
        <f>TablaOcurrencia_APMT_16sectores!J238</f>
        <v>12.245307401582201</v>
      </c>
      <c r="H239" s="18">
        <f>TablaOcurrencia_APMT_16sectores!M238</f>
        <v>7.4957461640519005E-6</v>
      </c>
      <c r="I239" s="19">
        <f>TablaOcurrencia_APMT_16sectores!N238</f>
        <v>2.7359473498789438E-3</v>
      </c>
    </row>
    <row r="240" spans="1:9" ht="15.6" x14ac:dyDescent="0.3">
      <c r="A240" s="16" t="str">
        <f>TablaOcurrencia_APMT_16sectores!B239</f>
        <v>S</v>
      </c>
      <c r="B240" s="17">
        <f>0.5*(TablaOcurrencia_APMT_16sectores!C239+TablaOcurrencia_APMT_16sectores!D239)</f>
        <v>191.25</v>
      </c>
      <c r="C240" s="17">
        <f>0.5*(TablaOcurrencia_APMT_16sectores!E239+TablaOcurrencia_APMT_16sectores!F239)</f>
        <v>3.25</v>
      </c>
      <c r="D240" s="17">
        <f>0.5*(TablaOcurrencia_APMT_16sectores!G239+TablaOcurrencia_APMT_16sectores!H239)</f>
        <v>23</v>
      </c>
      <c r="E240" s="17">
        <f>TablaOcurrencia_APMT_16sectores!K239</f>
        <v>196.333333333333</v>
      </c>
      <c r="F240" s="17">
        <f>TablaOcurrencia_APMT_16sectores!I239</f>
        <v>3.0293334999999999</v>
      </c>
      <c r="G240" s="17">
        <f>TablaOcurrencia_APMT_16sectores!J239</f>
        <v>22.735101809698499</v>
      </c>
      <c r="H240" s="18">
        <f>TablaOcurrencia_APMT_16sectores!M239</f>
        <v>7.4957461640519005E-6</v>
      </c>
      <c r="I240" s="19">
        <f>TablaOcurrencia_APMT_16sectores!N239</f>
        <v>2.7359473498789438E-3</v>
      </c>
    </row>
    <row r="241" spans="1:9" ht="15.6" x14ac:dyDescent="0.3">
      <c r="A241" s="16" t="str">
        <f>TablaOcurrencia_APMT_16sectores!B240</f>
        <v>SSW</v>
      </c>
      <c r="B241" s="17">
        <f>0.5*(TablaOcurrencia_APMT_16sectores!C240+TablaOcurrencia_APMT_16sectores!D240)</f>
        <v>213.75</v>
      </c>
      <c r="C241" s="17">
        <f>0.5*(TablaOcurrencia_APMT_16sectores!E240+TablaOcurrencia_APMT_16sectores!F240)</f>
        <v>2.25</v>
      </c>
      <c r="D241" s="17">
        <f>0.5*(TablaOcurrencia_APMT_16sectores!G240+TablaOcurrencia_APMT_16sectores!H240)</f>
        <v>3</v>
      </c>
      <c r="E241" s="17">
        <f>TablaOcurrencia_APMT_16sectores!K240</f>
        <v>212</v>
      </c>
      <c r="F241" s="17">
        <f>TablaOcurrencia_APMT_16sectores!I240</f>
        <v>2.0446667666666598</v>
      </c>
      <c r="G241" s="17">
        <f>TablaOcurrencia_APMT_16sectores!J240</f>
        <v>2.91856875052114</v>
      </c>
      <c r="H241" s="18">
        <f>TablaOcurrencia_APMT_16sectores!M240</f>
        <v>7.4957461640519005E-6</v>
      </c>
      <c r="I241" s="19">
        <f>TablaOcurrencia_APMT_16sectores!N240</f>
        <v>2.7359473498789438E-3</v>
      </c>
    </row>
    <row r="242" spans="1:9" ht="15.6" x14ac:dyDescent="0.3">
      <c r="A242" s="16" t="str">
        <f>TablaOcurrencia_APMT_16sectores!B241</f>
        <v>WSW</v>
      </c>
      <c r="B242" s="17">
        <f>0.5*(TablaOcurrencia_APMT_16sectores!C241+TablaOcurrencia_APMT_16sectores!D241)</f>
        <v>258.75</v>
      </c>
      <c r="C242" s="17">
        <f>0.5*(TablaOcurrencia_APMT_16sectores!E241+TablaOcurrencia_APMT_16sectores!F241)</f>
        <v>2.25</v>
      </c>
      <c r="D242" s="17">
        <f>0.5*(TablaOcurrencia_APMT_16sectores!G241+TablaOcurrencia_APMT_16sectores!H241)</f>
        <v>13</v>
      </c>
      <c r="E242" s="17">
        <f>TablaOcurrencia_APMT_16sectores!K241</f>
        <v>253.666666666666</v>
      </c>
      <c r="F242" s="17">
        <f>TablaOcurrencia_APMT_16sectores!I241</f>
        <v>2.0486667999999999</v>
      </c>
      <c r="G242" s="17">
        <f>TablaOcurrencia_APMT_16sectores!J241</f>
        <v>13.8888880495488</v>
      </c>
      <c r="H242" s="18">
        <f>TablaOcurrencia_APMT_16sectores!M241</f>
        <v>7.4957461640519005E-6</v>
      </c>
      <c r="I242" s="19">
        <f>TablaOcurrencia_APMT_16sectores!N241</f>
        <v>2.7359473498789438E-3</v>
      </c>
    </row>
    <row r="243" spans="1:9" ht="15.6" x14ac:dyDescent="0.3">
      <c r="A243" s="16" t="str">
        <f>TablaOcurrencia_APMT_16sectores!B242</f>
        <v>W</v>
      </c>
      <c r="B243" s="17">
        <f>0.5*(TablaOcurrencia_APMT_16sectores!C242+TablaOcurrencia_APMT_16sectores!D242)</f>
        <v>281.25</v>
      </c>
      <c r="C243" s="17">
        <f>0.5*(TablaOcurrencia_APMT_16sectores!E242+TablaOcurrencia_APMT_16sectores!F242)</f>
        <v>1.75</v>
      </c>
      <c r="D243" s="17">
        <f>0.5*(TablaOcurrencia_APMT_16sectores!G242+TablaOcurrencia_APMT_16sectores!H242)</f>
        <v>21</v>
      </c>
      <c r="E243" s="17">
        <f>TablaOcurrencia_APMT_16sectores!K242</f>
        <v>290.666666666666</v>
      </c>
      <c r="F243" s="17">
        <f>TablaOcurrencia_APMT_16sectores!I242</f>
        <v>1.74600006666666</v>
      </c>
      <c r="G243" s="17">
        <f>TablaOcurrencia_APMT_16sectores!J242</f>
        <v>21.1288409086124</v>
      </c>
      <c r="H243" s="18">
        <f>TablaOcurrencia_APMT_16sectores!M242</f>
        <v>7.4957461640519005E-6</v>
      </c>
      <c r="I243" s="19">
        <f>TablaOcurrencia_APMT_16sectores!N242</f>
        <v>2.7359473498789438E-3</v>
      </c>
    </row>
    <row r="244" spans="1:9" ht="15.6" x14ac:dyDescent="0.3">
      <c r="A244" s="16" t="str">
        <f>TablaOcurrencia_APMT_16sectores!B243</f>
        <v>W</v>
      </c>
      <c r="B244" s="17">
        <f>0.5*(TablaOcurrencia_APMT_16sectores!C243+TablaOcurrencia_APMT_16sectores!D243)</f>
        <v>281.25</v>
      </c>
      <c r="C244" s="17">
        <f>0.5*(TablaOcurrencia_APMT_16sectores!E243+TablaOcurrencia_APMT_16sectores!F243)</f>
        <v>3.25</v>
      </c>
      <c r="D244" s="17">
        <f>0.5*(TablaOcurrencia_APMT_16sectores!G243+TablaOcurrencia_APMT_16sectores!H243)</f>
        <v>17</v>
      </c>
      <c r="E244" s="17">
        <f>TablaOcurrencia_APMT_16sectores!K243</f>
        <v>277.666666666666</v>
      </c>
      <c r="F244" s="17">
        <f>TablaOcurrencia_APMT_16sectores!I243</f>
        <v>3.0093333999999898</v>
      </c>
      <c r="G244" s="17">
        <f>TablaOcurrencia_APMT_16sectores!J243</f>
        <v>17.752714368419301</v>
      </c>
      <c r="H244" s="18">
        <f>TablaOcurrencia_APMT_16sectores!M243</f>
        <v>7.4957461640519005E-6</v>
      </c>
      <c r="I244" s="19">
        <f>TablaOcurrencia_APMT_16sectores!N243</f>
        <v>2.7359473498789438E-3</v>
      </c>
    </row>
    <row r="245" spans="1:9" ht="15.6" x14ac:dyDescent="0.3">
      <c r="A245" s="16" t="str">
        <f>TablaOcurrencia_APMT_16sectores!B244</f>
        <v>WNW</v>
      </c>
      <c r="B245" s="17">
        <f>0.5*(TablaOcurrencia_APMT_16sectores!C244+TablaOcurrencia_APMT_16sectores!D244)</f>
        <v>303.75</v>
      </c>
      <c r="C245" s="17">
        <f>0.5*(TablaOcurrencia_APMT_16sectores!E244+TablaOcurrencia_APMT_16sectores!F244)</f>
        <v>2.75</v>
      </c>
      <c r="D245" s="17">
        <f>0.5*(TablaOcurrencia_APMT_16sectores!G244+TablaOcurrencia_APMT_16sectores!H244)</f>
        <v>17</v>
      </c>
      <c r="E245" s="17">
        <f>TablaOcurrencia_APMT_16sectores!K244</f>
        <v>297</v>
      </c>
      <c r="F245" s="17">
        <f>TablaOcurrencia_APMT_16sectores!I244</f>
        <v>2.7020000666666601</v>
      </c>
      <c r="G245" s="17">
        <f>TablaOcurrencia_APMT_16sectores!J244</f>
        <v>17.8571423059519</v>
      </c>
      <c r="H245" s="18">
        <f>TablaOcurrencia_APMT_16sectores!M244</f>
        <v>7.4957461640519005E-6</v>
      </c>
      <c r="I245" s="19">
        <f>TablaOcurrencia_APMT_16sectores!N244</f>
        <v>2.7359473498789438E-3</v>
      </c>
    </row>
    <row r="246" spans="1:9" ht="15.6" x14ac:dyDescent="0.3">
      <c r="A246" s="16" t="str">
        <f>TablaOcurrencia_APMT_16sectores!B245</f>
        <v>SSE</v>
      </c>
      <c r="B246" s="17">
        <f>0.5*(TablaOcurrencia_APMT_16sectores!C245+TablaOcurrencia_APMT_16sectores!D245)</f>
        <v>168.75</v>
      </c>
      <c r="C246" s="17">
        <f>0.5*(TablaOcurrencia_APMT_16sectores!E245+TablaOcurrencia_APMT_16sectores!F245)</f>
        <v>2.75</v>
      </c>
      <c r="D246" s="17">
        <f>0.5*(TablaOcurrencia_APMT_16sectores!G245+TablaOcurrencia_APMT_16sectores!H245)</f>
        <v>13</v>
      </c>
      <c r="E246" s="17">
        <f>TablaOcurrencia_APMT_16sectores!K245</f>
        <v>179</v>
      </c>
      <c r="F246" s="17">
        <f>TablaOcurrencia_APMT_16sectores!I245</f>
        <v>2.5310001</v>
      </c>
      <c r="G246" s="17">
        <f>TablaOcurrencia_APMT_16sectores!J245</f>
        <v>12.4999991152436</v>
      </c>
      <c r="H246" s="18">
        <f>TablaOcurrencia_APMT_16sectores!M245</f>
        <v>4.9971641093679337E-6</v>
      </c>
      <c r="I246" s="19">
        <f>TablaOcurrencia_APMT_16sectores!N245</f>
        <v>1.8239648999192957E-3</v>
      </c>
    </row>
    <row r="247" spans="1:9" ht="15.6" x14ac:dyDescent="0.3">
      <c r="A247" s="16" t="str">
        <f>TablaOcurrencia_APMT_16sectores!B246</f>
        <v>S</v>
      </c>
      <c r="B247" s="17">
        <f>0.5*(TablaOcurrencia_APMT_16sectores!C246+TablaOcurrencia_APMT_16sectores!D246)</f>
        <v>191.25</v>
      </c>
      <c r="C247" s="17">
        <f>0.5*(TablaOcurrencia_APMT_16sectores!E246+TablaOcurrencia_APMT_16sectores!F246)</f>
        <v>1.75</v>
      </c>
      <c r="D247" s="17">
        <f>0.5*(TablaOcurrencia_APMT_16sectores!G246+TablaOcurrencia_APMT_16sectores!H246)</f>
        <v>23</v>
      </c>
      <c r="E247" s="17">
        <f>TablaOcurrencia_APMT_16sectores!K246</f>
        <v>200.5</v>
      </c>
      <c r="F247" s="17">
        <f>TablaOcurrencia_APMT_16sectores!I246</f>
        <v>1.7580000499999999</v>
      </c>
      <c r="G247" s="17">
        <f>TablaOcurrencia_APMT_16sectores!J246</f>
        <v>22.991542044952599</v>
      </c>
      <c r="H247" s="18">
        <f>TablaOcurrencia_APMT_16sectores!M246</f>
        <v>4.9971641093679337E-6</v>
      </c>
      <c r="I247" s="19">
        <f>TablaOcurrencia_APMT_16sectores!N246</f>
        <v>1.8239648999192957E-3</v>
      </c>
    </row>
    <row r="248" spans="1:9" ht="15.6" x14ac:dyDescent="0.3">
      <c r="A248" s="16" t="str">
        <f>TablaOcurrencia_APMT_16sectores!B247</f>
        <v>S</v>
      </c>
      <c r="B248" s="17">
        <f>0.5*(TablaOcurrencia_APMT_16sectores!C247+TablaOcurrencia_APMT_16sectores!D247)</f>
        <v>191.25</v>
      </c>
      <c r="C248" s="17">
        <f>0.5*(TablaOcurrencia_APMT_16sectores!E247+TablaOcurrencia_APMT_16sectores!F247)</f>
        <v>4.75</v>
      </c>
      <c r="D248" s="17">
        <f>0.5*(TablaOcurrencia_APMT_16sectores!G247+TablaOcurrencia_APMT_16sectores!H247)</f>
        <v>19</v>
      </c>
      <c r="E248" s="17">
        <f>TablaOcurrencia_APMT_16sectores!K247</f>
        <v>201</v>
      </c>
      <c r="F248" s="17">
        <f>TablaOcurrencia_APMT_16sectores!I247</f>
        <v>4.5350001999999998</v>
      </c>
      <c r="G248" s="17">
        <f>TablaOcurrencia_APMT_16sectores!J247</f>
        <v>18.181817048837399</v>
      </c>
      <c r="H248" s="18">
        <f>TablaOcurrencia_APMT_16sectores!M247</f>
        <v>4.9971641093679337E-6</v>
      </c>
      <c r="I248" s="19">
        <f>TablaOcurrencia_APMT_16sectores!N247</f>
        <v>1.8239648999192957E-3</v>
      </c>
    </row>
    <row r="249" spans="1:9" ht="15.6" x14ac:dyDescent="0.3">
      <c r="A249" s="16" t="str">
        <f>TablaOcurrencia_APMT_16sectores!B248</f>
        <v>SSW</v>
      </c>
      <c r="B249" s="17">
        <f>0.5*(TablaOcurrencia_APMT_16sectores!C248+TablaOcurrencia_APMT_16sectores!D248)</f>
        <v>213.75</v>
      </c>
      <c r="C249" s="17">
        <f>0.5*(TablaOcurrencia_APMT_16sectores!E248+TablaOcurrencia_APMT_16sectores!F248)</f>
        <v>0.75</v>
      </c>
      <c r="D249" s="17">
        <f>0.5*(TablaOcurrencia_APMT_16sectores!G248+TablaOcurrencia_APMT_16sectores!H248)</f>
        <v>21</v>
      </c>
      <c r="E249" s="17">
        <f>TablaOcurrencia_APMT_16sectores!K248</f>
        <v>217.5</v>
      </c>
      <c r="F249" s="17">
        <f>TablaOcurrencia_APMT_16sectores!I248</f>
        <v>0.92400005500000004</v>
      </c>
      <c r="G249" s="17">
        <f>TablaOcurrencia_APMT_16sectores!J248</f>
        <v>21.276594786797201</v>
      </c>
      <c r="H249" s="18">
        <f>TablaOcurrencia_APMT_16sectores!M248</f>
        <v>4.9971641093679337E-6</v>
      </c>
      <c r="I249" s="19">
        <f>TablaOcurrencia_APMT_16sectores!N248</f>
        <v>1.8239648999192957E-3</v>
      </c>
    </row>
    <row r="250" spans="1:9" ht="15.6" x14ac:dyDescent="0.3">
      <c r="A250" s="16" t="str">
        <f>TablaOcurrencia_APMT_16sectores!B249</f>
        <v>SSW</v>
      </c>
      <c r="B250" s="17">
        <f>0.5*(TablaOcurrencia_APMT_16sectores!C249+TablaOcurrencia_APMT_16sectores!D249)</f>
        <v>213.75</v>
      </c>
      <c r="C250" s="17">
        <f>0.5*(TablaOcurrencia_APMT_16sectores!E249+TablaOcurrencia_APMT_16sectores!F249)</f>
        <v>2.25</v>
      </c>
      <c r="D250" s="17">
        <f>0.5*(TablaOcurrencia_APMT_16sectores!G249+TablaOcurrencia_APMT_16sectores!H249)</f>
        <v>27</v>
      </c>
      <c r="E250" s="17">
        <f>TablaOcurrencia_APMT_16sectores!K249</f>
        <v>217</v>
      </c>
      <c r="F250" s="17">
        <f>TablaOcurrencia_APMT_16sectores!I249</f>
        <v>2.4590000999999999</v>
      </c>
      <c r="G250" s="17">
        <f>TablaOcurrencia_APMT_16sectores!J249</f>
        <v>26.315787740031201</v>
      </c>
      <c r="H250" s="18">
        <f>TablaOcurrencia_APMT_16sectores!M249</f>
        <v>4.9971641093679337E-6</v>
      </c>
      <c r="I250" s="19">
        <f>TablaOcurrencia_APMT_16sectores!N249</f>
        <v>1.8239648999192957E-3</v>
      </c>
    </row>
    <row r="251" spans="1:9" ht="15.6" x14ac:dyDescent="0.3">
      <c r="A251" s="16" t="str">
        <f>TablaOcurrencia_APMT_16sectores!B250</f>
        <v>SW</v>
      </c>
      <c r="B251" s="17">
        <f>0.5*(TablaOcurrencia_APMT_16sectores!C250+TablaOcurrencia_APMT_16sectores!D250)</f>
        <v>236.25</v>
      </c>
      <c r="C251" s="17">
        <f>0.5*(TablaOcurrencia_APMT_16sectores!E250+TablaOcurrencia_APMT_16sectores!F250)</f>
        <v>2.25</v>
      </c>
      <c r="D251" s="17">
        <f>0.5*(TablaOcurrencia_APMT_16sectores!G250+TablaOcurrencia_APMT_16sectores!H250)</f>
        <v>7</v>
      </c>
      <c r="E251" s="17">
        <f>TablaOcurrencia_APMT_16sectores!K250</f>
        <v>230.5</v>
      </c>
      <c r="F251" s="17">
        <f>TablaOcurrencia_APMT_16sectores!I250</f>
        <v>2.0259999999999998</v>
      </c>
      <c r="G251" s="17">
        <f>TablaOcurrencia_APMT_16sectores!J250</f>
        <v>6.2893078083017198</v>
      </c>
      <c r="H251" s="18">
        <f>TablaOcurrencia_APMT_16sectores!M250</f>
        <v>4.9971641093679337E-6</v>
      </c>
      <c r="I251" s="19">
        <f>TablaOcurrencia_APMT_16sectores!N250</f>
        <v>1.8239648999192957E-3</v>
      </c>
    </row>
    <row r="252" spans="1:9" ht="15.6" x14ac:dyDescent="0.3">
      <c r="A252" s="16" t="str">
        <f>TablaOcurrencia_APMT_16sectores!B251</f>
        <v>SW</v>
      </c>
      <c r="B252" s="17">
        <f>0.5*(TablaOcurrencia_APMT_16sectores!C251+TablaOcurrencia_APMT_16sectores!D251)</f>
        <v>236.25</v>
      </c>
      <c r="C252" s="17">
        <f>0.5*(TablaOcurrencia_APMT_16sectores!E251+TablaOcurrencia_APMT_16sectores!F251)</f>
        <v>2.75</v>
      </c>
      <c r="D252" s="17">
        <f>0.5*(TablaOcurrencia_APMT_16sectores!G251+TablaOcurrencia_APMT_16sectores!H251)</f>
        <v>23</v>
      </c>
      <c r="E252" s="17">
        <f>TablaOcurrencia_APMT_16sectores!K251</f>
        <v>226</v>
      </c>
      <c r="F252" s="17">
        <f>TablaOcurrencia_APMT_16sectores!I251</f>
        <v>2.754</v>
      </c>
      <c r="G252" s="17">
        <f>TablaOcurrencia_APMT_16sectores!J251</f>
        <v>22.739017251446501</v>
      </c>
      <c r="H252" s="18">
        <f>TablaOcurrencia_APMT_16sectores!M251</f>
        <v>4.9971641093679337E-6</v>
      </c>
      <c r="I252" s="19">
        <f>TablaOcurrencia_APMT_16sectores!N251</f>
        <v>1.8239648999192957E-3</v>
      </c>
    </row>
    <row r="253" spans="1:9" ht="15.6" x14ac:dyDescent="0.3">
      <c r="A253" s="16" t="str">
        <f>TablaOcurrencia_APMT_16sectores!B252</f>
        <v>WSW</v>
      </c>
      <c r="B253" s="17">
        <f>0.5*(TablaOcurrencia_APMT_16sectores!C252+TablaOcurrencia_APMT_16sectores!D252)</f>
        <v>258.75</v>
      </c>
      <c r="C253" s="17">
        <f>0.5*(TablaOcurrencia_APMT_16sectores!E252+TablaOcurrencia_APMT_16sectores!F252)</f>
        <v>1.75</v>
      </c>
      <c r="D253" s="17">
        <f>0.5*(TablaOcurrencia_APMT_16sectores!G252+TablaOcurrencia_APMT_16sectores!H252)</f>
        <v>21</v>
      </c>
      <c r="E253" s="17">
        <f>TablaOcurrencia_APMT_16sectores!K252</f>
        <v>254.5</v>
      </c>
      <c r="F253" s="17">
        <f>TablaOcurrencia_APMT_16sectores!I252</f>
        <v>1.9910000999999999</v>
      </c>
      <c r="G253" s="17">
        <f>TablaOcurrencia_APMT_16sectores!J252</f>
        <v>20.6207476998635</v>
      </c>
      <c r="H253" s="18">
        <f>TablaOcurrencia_APMT_16sectores!M252</f>
        <v>4.9971641093679337E-6</v>
      </c>
      <c r="I253" s="19">
        <f>TablaOcurrencia_APMT_16sectores!N252</f>
        <v>1.8239648999192957E-3</v>
      </c>
    </row>
    <row r="254" spans="1:9" ht="15.6" x14ac:dyDescent="0.3">
      <c r="A254" s="16" t="str">
        <f>TablaOcurrencia_APMT_16sectores!B253</f>
        <v>WNW</v>
      </c>
      <c r="B254" s="17">
        <f>0.5*(TablaOcurrencia_APMT_16sectores!C253+TablaOcurrencia_APMT_16sectores!D253)</f>
        <v>303.75</v>
      </c>
      <c r="C254" s="17">
        <f>0.5*(TablaOcurrencia_APMT_16sectores!E253+TablaOcurrencia_APMT_16sectores!F253)</f>
        <v>1.75</v>
      </c>
      <c r="D254" s="17">
        <f>0.5*(TablaOcurrencia_APMT_16sectores!G253+TablaOcurrencia_APMT_16sectores!H253)</f>
        <v>13</v>
      </c>
      <c r="E254" s="17">
        <f>TablaOcurrencia_APMT_16sectores!K253</f>
        <v>299</v>
      </c>
      <c r="F254" s="17">
        <f>TablaOcurrencia_APMT_16sectores!I253</f>
        <v>1.5580000000000001</v>
      </c>
      <c r="G254" s="17">
        <f>TablaOcurrencia_APMT_16sectores!J253</f>
        <v>13.8888880495488</v>
      </c>
      <c r="H254" s="18">
        <f>TablaOcurrencia_APMT_16sectores!M253</f>
        <v>4.9971641093679337E-6</v>
      </c>
      <c r="I254" s="19">
        <f>TablaOcurrencia_APMT_16sectores!N253</f>
        <v>1.8239648999192957E-3</v>
      </c>
    </row>
    <row r="255" spans="1:9" ht="15.6" x14ac:dyDescent="0.3">
      <c r="A255" s="16" t="str">
        <f>TablaOcurrencia_APMT_16sectores!B254</f>
        <v>S</v>
      </c>
      <c r="B255" s="17">
        <f>0.5*(TablaOcurrencia_APMT_16sectores!C254+TablaOcurrencia_APMT_16sectores!D254)</f>
        <v>191.25</v>
      </c>
      <c r="C255" s="17">
        <f>0.5*(TablaOcurrencia_APMT_16sectores!E254+TablaOcurrencia_APMT_16sectores!F254)</f>
        <v>0.75</v>
      </c>
      <c r="D255" s="17">
        <f>0.5*(TablaOcurrencia_APMT_16sectores!G254+TablaOcurrencia_APMT_16sectores!H254)</f>
        <v>13</v>
      </c>
      <c r="E255" s="17">
        <f>TablaOcurrencia_APMT_16sectores!K254</f>
        <v>195</v>
      </c>
      <c r="F255" s="17">
        <f>TablaOcurrencia_APMT_16sectores!I254</f>
        <v>1</v>
      </c>
      <c r="G255" s="17">
        <f>TablaOcurrencia_APMT_16sectores!J254</f>
        <v>13.8888880495488</v>
      </c>
      <c r="H255" s="18">
        <f>TablaOcurrencia_APMT_16sectores!M254</f>
        <v>2.4985820546839668E-6</v>
      </c>
      <c r="I255" s="19">
        <f>TablaOcurrencia_APMT_16sectores!N254</f>
        <v>9.1198244995964787E-4</v>
      </c>
    </row>
    <row r="256" spans="1:9" ht="15.6" x14ac:dyDescent="0.3">
      <c r="A256" s="16" t="str">
        <f>TablaOcurrencia_APMT_16sectores!B255</f>
        <v>SSW</v>
      </c>
      <c r="B256" s="17">
        <f>0.5*(TablaOcurrencia_APMT_16sectores!C255+TablaOcurrencia_APMT_16sectores!D255)</f>
        <v>213.75</v>
      </c>
      <c r="C256" s="17">
        <f>0.5*(TablaOcurrencia_APMT_16sectores!E255+TablaOcurrencia_APMT_16sectores!F255)</f>
        <v>0.75</v>
      </c>
      <c r="D256" s="17">
        <f>0.5*(TablaOcurrencia_APMT_16sectores!G255+TablaOcurrencia_APMT_16sectores!H255)</f>
        <v>19</v>
      </c>
      <c r="E256" s="17">
        <f>TablaOcurrencia_APMT_16sectores!K255</f>
        <v>216</v>
      </c>
      <c r="F256" s="17">
        <f>TablaOcurrencia_APMT_16sectores!I255</f>
        <v>0.98</v>
      </c>
      <c r="G256" s="17">
        <f>TablaOcurrencia_APMT_16sectores!J255</f>
        <v>19.607842071658599</v>
      </c>
      <c r="H256" s="18">
        <f>TablaOcurrencia_APMT_16sectores!M255</f>
        <v>2.4985820546839668E-6</v>
      </c>
      <c r="I256" s="19">
        <f>TablaOcurrencia_APMT_16sectores!N255</f>
        <v>9.1198244995964787E-4</v>
      </c>
    </row>
    <row r="257" spans="1:9" ht="15.6" x14ac:dyDescent="0.3">
      <c r="A257" s="16" t="str">
        <f>TablaOcurrencia_APMT_16sectores!B256</f>
        <v>SSW</v>
      </c>
      <c r="B257" s="17">
        <f>0.5*(TablaOcurrencia_APMT_16sectores!C256+TablaOcurrencia_APMT_16sectores!D256)</f>
        <v>213.75</v>
      </c>
      <c r="C257" s="17">
        <f>0.5*(TablaOcurrencia_APMT_16sectores!E256+TablaOcurrencia_APMT_16sectores!F256)</f>
        <v>2.25</v>
      </c>
      <c r="D257" s="17">
        <f>0.5*(TablaOcurrencia_APMT_16sectores!G256+TablaOcurrencia_APMT_16sectores!H256)</f>
        <v>25</v>
      </c>
      <c r="E257" s="17">
        <f>TablaOcurrencia_APMT_16sectores!K256</f>
        <v>218</v>
      </c>
      <c r="F257" s="17">
        <f>TablaOcurrencia_APMT_16sectores!I256</f>
        <v>2.496</v>
      </c>
      <c r="G257" s="17">
        <f>TablaOcurrencia_APMT_16sectores!J256</f>
        <v>25.641025111990299</v>
      </c>
      <c r="H257" s="18">
        <f>TablaOcurrencia_APMT_16sectores!M256</f>
        <v>2.4985820546839668E-6</v>
      </c>
      <c r="I257" s="19">
        <f>TablaOcurrencia_APMT_16sectores!N256</f>
        <v>9.1198244995964787E-4</v>
      </c>
    </row>
    <row r="258" spans="1:9" ht="15.6" x14ac:dyDescent="0.3">
      <c r="A258" s="16"/>
      <c r="B258" s="17"/>
      <c r="C258" s="17"/>
      <c r="D258" s="17"/>
      <c r="E258" s="17"/>
      <c r="F258" s="17"/>
      <c r="G258" s="17"/>
      <c r="H258" s="18"/>
      <c r="I258" s="19"/>
    </row>
  </sheetData>
  <mergeCells count="3">
    <mergeCell ref="A1:D1"/>
    <mergeCell ref="E1:G1"/>
    <mergeCell ref="H1:I1"/>
  </mergeCells>
  <conditionalFormatting sqref="H3:H258">
    <cfRule type="colorScale" priority="4">
      <colorScale>
        <cfvo type="min"/>
        <cfvo type="max"/>
        <color rgb="FFFCFCFF"/>
        <color rgb="FF63BE7B"/>
      </colorScale>
    </cfRule>
  </conditionalFormatting>
  <conditionalFormatting sqref="I3:I258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CCFF99"/>
        <color rgb="FFFFFFCC"/>
        <color rgb="FFFF7C80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4BE7-220D-4AF1-B3CF-35E36BEB1FD1}">
  <dimension ref="B1:M20"/>
  <sheetViews>
    <sheetView workbookViewId="0">
      <selection activeCell="H13" sqref="H13:K14"/>
    </sheetView>
  </sheetViews>
  <sheetFormatPr baseColWidth="10" defaultRowHeight="14.4" x14ac:dyDescent="0.3"/>
  <cols>
    <col min="13" max="13" width="12.6640625" customWidth="1"/>
  </cols>
  <sheetData>
    <row r="1" spans="2:13" ht="15" thickBot="1" x14ac:dyDescent="0.35"/>
    <row r="2" spans="2:13" ht="16.2" thickBot="1" x14ac:dyDescent="0.35">
      <c r="B2" s="61" t="s">
        <v>76</v>
      </c>
      <c r="C2" s="63" t="s">
        <v>77</v>
      </c>
      <c r="D2" s="64"/>
      <c r="E2" s="64"/>
      <c r="F2" s="64"/>
      <c r="G2" s="64"/>
      <c r="H2" s="64"/>
      <c r="I2" s="64"/>
      <c r="J2" s="64"/>
      <c r="K2" s="64"/>
      <c r="L2" s="64"/>
    </row>
    <row r="3" spans="2:13" ht="16.2" thickBot="1" x14ac:dyDescent="0.35">
      <c r="B3" s="62"/>
      <c r="C3" s="22" t="s">
        <v>78</v>
      </c>
      <c r="D3" s="22" t="s">
        <v>79</v>
      </c>
      <c r="E3" s="22" t="s">
        <v>80</v>
      </c>
      <c r="F3" s="22" t="s">
        <v>81</v>
      </c>
      <c r="G3" s="22" t="s">
        <v>82</v>
      </c>
      <c r="H3" s="22" t="s">
        <v>83</v>
      </c>
      <c r="I3" s="22" t="s">
        <v>84</v>
      </c>
      <c r="J3" s="22" t="s">
        <v>85</v>
      </c>
      <c r="K3" s="22" t="s">
        <v>86</v>
      </c>
      <c r="L3" s="23" t="s">
        <v>87</v>
      </c>
    </row>
    <row r="4" spans="2:13" ht="16.2" thickBot="1" x14ac:dyDescent="0.35">
      <c r="B4" s="24" t="s">
        <v>45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5" t="s">
        <v>88</v>
      </c>
      <c r="M4" s="48">
        <f>SUM(G4:K4)</f>
        <v>0</v>
      </c>
    </row>
    <row r="5" spans="2:13" ht="16.2" thickBot="1" x14ac:dyDescent="0.35">
      <c r="B5" s="24" t="s">
        <v>48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5" t="s">
        <v>88</v>
      </c>
      <c r="M5" s="48">
        <f t="shared" ref="M5:M20" si="0">SUM(G5:K5)</f>
        <v>0</v>
      </c>
    </row>
    <row r="6" spans="2:13" ht="16.2" thickBot="1" x14ac:dyDescent="0.35">
      <c r="B6" s="24" t="s">
        <v>89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5" t="s">
        <v>88</v>
      </c>
      <c r="M6" s="48">
        <f t="shared" si="0"/>
        <v>0</v>
      </c>
    </row>
    <row r="7" spans="2:13" ht="16.2" thickBot="1" x14ac:dyDescent="0.35">
      <c r="B7" s="24" t="s">
        <v>90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5" t="s">
        <v>88</v>
      </c>
      <c r="M7" s="48">
        <f t="shared" si="0"/>
        <v>0</v>
      </c>
    </row>
    <row r="8" spans="2:13" ht="16.2" thickBot="1" x14ac:dyDescent="0.35">
      <c r="B8" s="24" t="s">
        <v>55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5" t="s">
        <v>88</v>
      </c>
      <c r="M8" s="48">
        <f t="shared" si="0"/>
        <v>0</v>
      </c>
    </row>
    <row r="9" spans="2:13" ht="16.2" thickBot="1" x14ac:dyDescent="0.35">
      <c r="B9" s="24" t="s">
        <v>91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5" t="s">
        <v>88</v>
      </c>
      <c r="M9" s="48">
        <f t="shared" si="0"/>
        <v>0</v>
      </c>
    </row>
    <row r="10" spans="2:13" ht="16.2" thickBot="1" x14ac:dyDescent="0.35">
      <c r="B10" s="24" t="s">
        <v>13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5" t="s">
        <v>88</v>
      </c>
      <c r="M10" s="48">
        <f t="shared" si="0"/>
        <v>0</v>
      </c>
    </row>
    <row r="11" spans="2:13" ht="16.2" thickBot="1" x14ac:dyDescent="0.35">
      <c r="B11" s="24" t="s">
        <v>14</v>
      </c>
      <c r="C11" s="27">
        <v>2.0000000000000001E-4</v>
      </c>
      <c r="D11" s="27">
        <v>2.0000000000000001E-4</v>
      </c>
      <c r="E11" s="27">
        <v>1E-4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5" t="s">
        <v>92</v>
      </c>
      <c r="M11" s="48">
        <f t="shared" si="0"/>
        <v>0</v>
      </c>
    </row>
    <row r="12" spans="2:13" ht="16.2" thickBot="1" x14ac:dyDescent="0.35">
      <c r="B12" s="24" t="s">
        <v>93</v>
      </c>
      <c r="C12" s="27">
        <v>5.9999999999999995E-4</v>
      </c>
      <c r="D12" s="28">
        <v>1.6000000000000001E-3</v>
      </c>
      <c r="E12" s="29">
        <v>1.2800000000000001E-2</v>
      </c>
      <c r="F12" s="30">
        <v>1.67E-2</v>
      </c>
      <c r="G12" s="31">
        <v>1.24E-2</v>
      </c>
      <c r="H12" s="32">
        <v>4.5999999999999999E-3</v>
      </c>
      <c r="I12" s="28">
        <v>1.6000000000000001E-3</v>
      </c>
      <c r="J12" s="27">
        <v>2.0000000000000001E-4</v>
      </c>
      <c r="K12" s="27">
        <v>1E-4</v>
      </c>
      <c r="L12" s="25" t="s">
        <v>95</v>
      </c>
      <c r="M12" s="48">
        <f t="shared" si="0"/>
        <v>1.89E-2</v>
      </c>
    </row>
    <row r="13" spans="2:13" ht="16.2" thickBot="1" x14ac:dyDescent="0.35">
      <c r="B13" s="24" t="s">
        <v>96</v>
      </c>
      <c r="C13" s="27">
        <v>1E-4</v>
      </c>
      <c r="D13" s="33">
        <v>1.52E-2</v>
      </c>
      <c r="E13" s="34">
        <v>0.1421</v>
      </c>
      <c r="F13" s="35">
        <v>0.1739</v>
      </c>
      <c r="G13" s="36">
        <v>8.9099999999999999E-2</v>
      </c>
      <c r="H13" s="37">
        <v>2.8000000000000001E-2</v>
      </c>
      <c r="I13" s="38">
        <v>8.0000000000000002E-3</v>
      </c>
      <c r="J13" s="39">
        <v>1.2999999999999999E-3</v>
      </c>
      <c r="K13" s="27">
        <v>2.0000000000000001E-4</v>
      </c>
      <c r="L13" s="25" t="s">
        <v>97</v>
      </c>
      <c r="M13" s="48">
        <f t="shared" si="0"/>
        <v>0.12659999999999999</v>
      </c>
    </row>
    <row r="14" spans="2:13" ht="16.2" thickBot="1" x14ac:dyDescent="0.35">
      <c r="B14" s="24" t="s">
        <v>17</v>
      </c>
      <c r="C14" s="27">
        <v>0</v>
      </c>
      <c r="D14" s="40">
        <v>2.4500000000000001E-2</v>
      </c>
      <c r="E14" s="41">
        <v>0.18529999999999999</v>
      </c>
      <c r="F14" s="42">
        <v>0.15010000000000001</v>
      </c>
      <c r="G14" s="43">
        <v>4.4299999999999999E-2</v>
      </c>
      <c r="H14" s="44">
        <v>9.4000000000000004E-3</v>
      </c>
      <c r="I14" s="28">
        <v>1.8E-3</v>
      </c>
      <c r="J14" s="27">
        <v>2.0000000000000001E-4</v>
      </c>
      <c r="K14" s="27">
        <v>0</v>
      </c>
      <c r="L14" s="25" t="s">
        <v>98</v>
      </c>
      <c r="M14" s="48">
        <f t="shared" si="0"/>
        <v>5.57E-2</v>
      </c>
    </row>
    <row r="15" spans="2:13" ht="16.2" thickBot="1" x14ac:dyDescent="0.35">
      <c r="B15" s="24" t="s">
        <v>99</v>
      </c>
      <c r="C15" s="27">
        <v>0</v>
      </c>
      <c r="D15" s="45">
        <v>3.3E-3</v>
      </c>
      <c r="E15" s="30">
        <v>1.5800000000000002E-2</v>
      </c>
      <c r="F15" s="46">
        <v>5.3E-3</v>
      </c>
      <c r="G15" s="27">
        <v>5.0000000000000001E-4</v>
      </c>
      <c r="H15" s="27">
        <v>1E-4</v>
      </c>
      <c r="I15" s="27">
        <v>0</v>
      </c>
      <c r="J15" s="27">
        <v>0</v>
      </c>
      <c r="K15" s="27">
        <v>0</v>
      </c>
      <c r="L15" s="25" t="s">
        <v>100</v>
      </c>
      <c r="M15" s="48">
        <f t="shared" si="0"/>
        <v>6.0000000000000006E-4</v>
      </c>
    </row>
    <row r="16" spans="2:13" ht="16.2" thickBot="1" x14ac:dyDescent="0.35">
      <c r="B16" s="24" t="s">
        <v>101</v>
      </c>
      <c r="C16" s="27">
        <v>0</v>
      </c>
      <c r="D16" s="28">
        <v>2E-3</v>
      </c>
      <c r="E16" s="38">
        <v>8.3000000000000001E-3</v>
      </c>
      <c r="F16" s="28">
        <v>2.3999999999999998E-3</v>
      </c>
      <c r="G16" s="27">
        <v>1E-4</v>
      </c>
      <c r="H16" s="27">
        <v>0</v>
      </c>
      <c r="I16" s="27">
        <v>0</v>
      </c>
      <c r="J16" s="27">
        <v>0</v>
      </c>
      <c r="K16" s="27">
        <v>0</v>
      </c>
      <c r="L16" s="25" t="s">
        <v>94</v>
      </c>
      <c r="M16" s="48">
        <f t="shared" si="0"/>
        <v>1E-4</v>
      </c>
    </row>
    <row r="17" spans="2:13" ht="16.2" thickBot="1" x14ac:dyDescent="0.35">
      <c r="B17" s="24" t="s">
        <v>20</v>
      </c>
      <c r="C17" s="27">
        <v>0</v>
      </c>
      <c r="D17" s="46">
        <v>5.1000000000000004E-3</v>
      </c>
      <c r="E17" s="47">
        <v>1.8700000000000001E-2</v>
      </c>
      <c r="F17" s="46">
        <v>5.1999999999999998E-3</v>
      </c>
      <c r="G17" s="27">
        <v>2.0000000000000001E-4</v>
      </c>
      <c r="H17" s="27">
        <v>0</v>
      </c>
      <c r="I17" s="27">
        <v>0</v>
      </c>
      <c r="J17" s="27">
        <v>0</v>
      </c>
      <c r="K17" s="27">
        <v>0</v>
      </c>
      <c r="L17" s="25" t="s">
        <v>102</v>
      </c>
      <c r="M17" s="48">
        <f t="shared" si="0"/>
        <v>2.0000000000000001E-4</v>
      </c>
    </row>
    <row r="18" spans="2:13" ht="16.2" thickBot="1" x14ac:dyDescent="0.35">
      <c r="B18" s="24" t="s">
        <v>103</v>
      </c>
      <c r="C18" s="27">
        <v>0</v>
      </c>
      <c r="D18" s="27">
        <v>8.0000000000000004E-4</v>
      </c>
      <c r="E18" s="46">
        <v>5.5999999999999999E-3</v>
      </c>
      <c r="F18" s="28">
        <v>1.6999999999999999E-3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5" t="s">
        <v>105</v>
      </c>
      <c r="M18" s="48">
        <f t="shared" si="0"/>
        <v>0</v>
      </c>
    </row>
    <row r="19" spans="2:13" ht="16.2" thickBot="1" x14ac:dyDescent="0.35">
      <c r="B19" s="24" t="s">
        <v>75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5" t="s">
        <v>88</v>
      </c>
      <c r="M19" s="48">
        <f t="shared" si="0"/>
        <v>0</v>
      </c>
    </row>
    <row r="20" spans="2:13" ht="16.2" thickBot="1" x14ac:dyDescent="0.35">
      <c r="B20" s="24" t="s">
        <v>87</v>
      </c>
      <c r="C20" s="25" t="s">
        <v>106</v>
      </c>
      <c r="D20" s="25" t="s">
        <v>107</v>
      </c>
      <c r="E20" s="25" t="s">
        <v>108</v>
      </c>
      <c r="F20" s="25" t="s">
        <v>109</v>
      </c>
      <c r="G20" s="25" t="s">
        <v>110</v>
      </c>
      <c r="H20" s="25" t="s">
        <v>111</v>
      </c>
      <c r="I20" s="25" t="s">
        <v>112</v>
      </c>
      <c r="J20" s="25" t="s">
        <v>104</v>
      </c>
      <c r="K20" s="25" t="s">
        <v>113</v>
      </c>
      <c r="L20" s="25" t="s">
        <v>114</v>
      </c>
      <c r="M20" s="26">
        <f t="shared" si="0"/>
        <v>0</v>
      </c>
    </row>
  </sheetData>
  <mergeCells count="2">
    <mergeCell ref="B2:B3"/>
    <mergeCell ref="C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1274-71B0-4730-BA5F-6D445FC8DECC}">
  <dimension ref="A1:K273"/>
  <sheetViews>
    <sheetView topLeftCell="A2" workbookViewId="0">
      <selection activeCell="H3" sqref="H3"/>
    </sheetView>
  </sheetViews>
  <sheetFormatPr baseColWidth="10" defaultRowHeight="14.4" x14ac:dyDescent="0.3"/>
  <sheetData>
    <row r="1" spans="1:11" ht="18.600000000000001" thickBot="1" x14ac:dyDescent="0.35">
      <c r="A1" s="76" t="s">
        <v>28</v>
      </c>
      <c r="B1" s="77"/>
      <c r="C1" s="77"/>
      <c r="D1" s="78"/>
      <c r="E1" s="76" t="s">
        <v>29</v>
      </c>
      <c r="F1" s="77"/>
      <c r="G1" s="78"/>
      <c r="H1" s="76" t="s">
        <v>30</v>
      </c>
      <c r="I1" s="78"/>
      <c r="J1" s="65"/>
      <c r="K1" s="65"/>
    </row>
    <row r="2" spans="1:11" ht="15.6" x14ac:dyDescent="0.3">
      <c r="A2" s="66" t="s">
        <v>39</v>
      </c>
      <c r="B2" s="67" t="s">
        <v>172</v>
      </c>
      <c r="C2" s="67" t="s">
        <v>32</v>
      </c>
      <c r="D2" s="67" t="s">
        <v>36</v>
      </c>
      <c r="E2" s="67" t="s">
        <v>34</v>
      </c>
      <c r="F2" s="67" t="s">
        <v>35</v>
      </c>
      <c r="G2" s="67" t="s">
        <v>36</v>
      </c>
      <c r="H2" s="67" t="s">
        <v>37</v>
      </c>
      <c r="I2" s="67" t="s">
        <v>38</v>
      </c>
      <c r="J2" s="65"/>
      <c r="K2" s="65"/>
    </row>
    <row r="3" spans="1:11" ht="15.6" x14ac:dyDescent="0.3">
      <c r="A3" s="68" t="s">
        <v>16</v>
      </c>
      <c r="B3" s="69" t="s">
        <v>173</v>
      </c>
      <c r="C3" s="69" t="s">
        <v>174</v>
      </c>
      <c r="D3" s="69" t="s">
        <v>175</v>
      </c>
      <c r="E3" s="68">
        <v>202.5</v>
      </c>
      <c r="F3" s="68">
        <v>2.2599999999999998</v>
      </c>
      <c r="G3" s="68">
        <v>14.83</v>
      </c>
      <c r="H3" s="70">
        <v>8.6300000000000002E-2</v>
      </c>
      <c r="I3" s="71">
        <v>31.48</v>
      </c>
      <c r="J3" s="79" t="s">
        <v>176</v>
      </c>
      <c r="K3" s="79"/>
    </row>
    <row r="4" spans="1:11" ht="15.6" x14ac:dyDescent="0.3">
      <c r="A4" s="72" t="s">
        <v>17</v>
      </c>
      <c r="B4" s="73" t="s">
        <v>177</v>
      </c>
      <c r="C4" s="73" t="s">
        <v>178</v>
      </c>
      <c r="D4" s="73" t="s">
        <v>179</v>
      </c>
      <c r="E4" s="72">
        <v>225</v>
      </c>
      <c r="F4" s="72">
        <v>1.75</v>
      </c>
      <c r="G4" s="72">
        <v>13.08</v>
      </c>
      <c r="H4" s="74">
        <v>8.5000000000000006E-2</v>
      </c>
      <c r="I4" s="75">
        <v>31.04</v>
      </c>
      <c r="J4" s="65"/>
      <c r="K4" s="65"/>
    </row>
    <row r="5" spans="1:11" ht="15.6" x14ac:dyDescent="0.3">
      <c r="A5" s="72" t="s">
        <v>17</v>
      </c>
      <c r="B5" s="73" t="s">
        <v>177</v>
      </c>
      <c r="C5" s="73" t="s">
        <v>174</v>
      </c>
      <c r="D5" s="73" t="s">
        <v>175</v>
      </c>
      <c r="E5" s="72">
        <v>225</v>
      </c>
      <c r="F5" s="72">
        <v>2.2200000000000002</v>
      </c>
      <c r="G5" s="72">
        <v>14.96</v>
      </c>
      <c r="H5" s="74">
        <v>8.0600000000000005E-2</v>
      </c>
      <c r="I5" s="75">
        <v>29.4</v>
      </c>
      <c r="J5" s="65"/>
      <c r="K5" s="65"/>
    </row>
    <row r="6" spans="1:11" ht="15.6" x14ac:dyDescent="0.3">
      <c r="A6" s="72" t="s">
        <v>16</v>
      </c>
      <c r="B6" s="73" t="s">
        <v>173</v>
      </c>
      <c r="C6" s="73" t="s">
        <v>178</v>
      </c>
      <c r="D6" s="73" t="s">
        <v>179</v>
      </c>
      <c r="E6" s="72">
        <v>202.5</v>
      </c>
      <c r="F6" s="72">
        <v>1.8</v>
      </c>
      <c r="G6" s="72">
        <v>12.91</v>
      </c>
      <c r="H6" s="74">
        <v>7.7799999999999994E-2</v>
      </c>
      <c r="I6" s="75">
        <v>28.4</v>
      </c>
      <c r="J6" s="65"/>
      <c r="K6" s="65"/>
    </row>
    <row r="7" spans="1:11" ht="15.6" x14ac:dyDescent="0.3">
      <c r="A7" s="72" t="s">
        <v>17</v>
      </c>
      <c r="B7" s="73" t="s">
        <v>177</v>
      </c>
      <c r="C7" s="73" t="s">
        <v>178</v>
      </c>
      <c r="D7" s="73" t="s">
        <v>175</v>
      </c>
      <c r="E7" s="72">
        <v>225</v>
      </c>
      <c r="F7" s="72">
        <v>1.81</v>
      </c>
      <c r="G7" s="72">
        <v>14.76</v>
      </c>
      <c r="H7" s="74">
        <v>6.88E-2</v>
      </c>
      <c r="I7" s="75">
        <v>25.11</v>
      </c>
      <c r="J7" s="65"/>
      <c r="K7" s="65"/>
    </row>
    <row r="8" spans="1:11" ht="15.6" x14ac:dyDescent="0.3">
      <c r="A8" s="72" t="s">
        <v>16</v>
      </c>
      <c r="B8" s="73" t="s">
        <v>173</v>
      </c>
      <c r="C8" s="73" t="s">
        <v>174</v>
      </c>
      <c r="D8" s="73" t="s">
        <v>179</v>
      </c>
      <c r="E8" s="72">
        <v>202.5</v>
      </c>
      <c r="F8" s="72">
        <v>2.2000000000000002</v>
      </c>
      <c r="G8" s="72">
        <v>13.15</v>
      </c>
      <c r="H8" s="74">
        <v>5.7799999999999997E-2</v>
      </c>
      <c r="I8" s="75">
        <v>21.11</v>
      </c>
      <c r="J8" s="65"/>
      <c r="K8" s="65"/>
    </row>
    <row r="9" spans="1:11" ht="15.6" x14ac:dyDescent="0.3">
      <c r="A9" s="72" t="s">
        <v>16</v>
      </c>
      <c r="B9" s="73" t="s">
        <v>173</v>
      </c>
      <c r="C9" s="73" t="s">
        <v>180</v>
      </c>
      <c r="D9" s="73" t="s">
        <v>175</v>
      </c>
      <c r="E9" s="72">
        <v>202.5</v>
      </c>
      <c r="F9" s="72">
        <v>2.71</v>
      </c>
      <c r="G9" s="72">
        <v>15.07</v>
      </c>
      <c r="H9" s="74">
        <v>4.9299999999999997E-2</v>
      </c>
      <c r="I9" s="75">
        <v>17.98</v>
      </c>
      <c r="J9" s="65"/>
      <c r="K9" s="65"/>
    </row>
    <row r="10" spans="1:11" ht="15.6" x14ac:dyDescent="0.3">
      <c r="A10" s="72" t="s">
        <v>16</v>
      </c>
      <c r="B10" s="73" t="s">
        <v>173</v>
      </c>
      <c r="C10" s="73" t="s">
        <v>178</v>
      </c>
      <c r="D10" s="73" t="s">
        <v>175</v>
      </c>
      <c r="E10" s="72">
        <v>202.5</v>
      </c>
      <c r="F10" s="72">
        <v>1.83</v>
      </c>
      <c r="G10" s="72">
        <v>14.73</v>
      </c>
      <c r="H10" s="74">
        <v>3.39E-2</v>
      </c>
      <c r="I10" s="75">
        <v>12.39</v>
      </c>
      <c r="J10" s="65"/>
      <c r="K10" s="65"/>
    </row>
    <row r="11" spans="1:11" ht="15.6" x14ac:dyDescent="0.3">
      <c r="A11" s="72" t="s">
        <v>17</v>
      </c>
      <c r="B11" s="73" t="s">
        <v>177</v>
      </c>
      <c r="C11" s="73" t="s">
        <v>174</v>
      </c>
      <c r="D11" s="73" t="s">
        <v>181</v>
      </c>
      <c r="E11" s="72">
        <v>225</v>
      </c>
      <c r="F11" s="72">
        <v>2.25</v>
      </c>
      <c r="G11" s="72">
        <v>16.91</v>
      </c>
      <c r="H11" s="74">
        <v>3.0800000000000001E-2</v>
      </c>
      <c r="I11" s="75">
        <v>11.24</v>
      </c>
      <c r="J11" s="65"/>
      <c r="K11" s="65"/>
    </row>
    <row r="12" spans="1:11" ht="15.6" x14ac:dyDescent="0.3">
      <c r="A12" s="72" t="s">
        <v>17</v>
      </c>
      <c r="B12" s="73" t="s">
        <v>177</v>
      </c>
      <c r="C12" s="73" t="s">
        <v>174</v>
      </c>
      <c r="D12" s="73" t="s">
        <v>179</v>
      </c>
      <c r="E12" s="72">
        <v>225</v>
      </c>
      <c r="F12" s="72">
        <v>2.1800000000000002</v>
      </c>
      <c r="G12" s="72">
        <v>13.22</v>
      </c>
      <c r="H12" s="74">
        <v>2.8000000000000001E-2</v>
      </c>
      <c r="I12" s="75">
        <v>10.24</v>
      </c>
      <c r="J12" s="65"/>
      <c r="K12" s="65"/>
    </row>
    <row r="13" spans="1:11" ht="15.6" x14ac:dyDescent="0.3">
      <c r="A13" s="72" t="s">
        <v>16</v>
      </c>
      <c r="B13" s="73" t="s">
        <v>173</v>
      </c>
      <c r="C13" s="73" t="s">
        <v>178</v>
      </c>
      <c r="D13" s="73" t="s">
        <v>182</v>
      </c>
      <c r="E13" s="72">
        <v>202.5</v>
      </c>
      <c r="F13" s="72">
        <v>1.73</v>
      </c>
      <c r="G13" s="72">
        <v>11.43</v>
      </c>
      <c r="H13" s="74">
        <v>2.1299999999999999E-2</v>
      </c>
      <c r="I13" s="75">
        <v>7.78</v>
      </c>
      <c r="J13" s="65"/>
      <c r="K13" s="65"/>
    </row>
    <row r="14" spans="1:11" ht="15.6" x14ac:dyDescent="0.3">
      <c r="A14" s="72" t="s">
        <v>17</v>
      </c>
      <c r="B14" s="73" t="s">
        <v>177</v>
      </c>
      <c r="C14" s="73" t="s">
        <v>180</v>
      </c>
      <c r="D14" s="73" t="s">
        <v>175</v>
      </c>
      <c r="E14" s="72">
        <v>225</v>
      </c>
      <c r="F14" s="72">
        <v>2.68</v>
      </c>
      <c r="G14" s="72">
        <v>15.18</v>
      </c>
      <c r="H14" s="74">
        <v>2.1000000000000001E-2</v>
      </c>
      <c r="I14" s="75">
        <v>7.68</v>
      </c>
      <c r="J14" s="65"/>
      <c r="K14" s="65"/>
    </row>
    <row r="15" spans="1:11" ht="15.6" x14ac:dyDescent="0.3">
      <c r="A15" s="72" t="s">
        <v>16</v>
      </c>
      <c r="B15" s="73" t="s">
        <v>173</v>
      </c>
      <c r="C15" s="73" t="s">
        <v>180</v>
      </c>
      <c r="D15" s="73" t="s">
        <v>181</v>
      </c>
      <c r="E15" s="72">
        <v>202.5</v>
      </c>
      <c r="F15" s="72">
        <v>2.74</v>
      </c>
      <c r="G15" s="72">
        <v>16.829999999999998</v>
      </c>
      <c r="H15" s="74">
        <v>2.06E-2</v>
      </c>
      <c r="I15" s="75">
        <v>7.52</v>
      </c>
      <c r="J15" s="65"/>
      <c r="K15" s="65"/>
    </row>
    <row r="16" spans="1:11" ht="15.6" x14ac:dyDescent="0.3">
      <c r="A16" s="72" t="s">
        <v>17</v>
      </c>
      <c r="B16" s="73" t="s">
        <v>177</v>
      </c>
      <c r="C16" s="73" t="s">
        <v>178</v>
      </c>
      <c r="D16" s="73" t="s">
        <v>181</v>
      </c>
      <c r="E16" s="72">
        <v>225</v>
      </c>
      <c r="F16" s="72">
        <v>1.82</v>
      </c>
      <c r="G16" s="72">
        <v>16.899999999999999</v>
      </c>
      <c r="H16" s="74">
        <v>1.9800000000000002E-2</v>
      </c>
      <c r="I16" s="75">
        <v>7.23</v>
      </c>
      <c r="J16" s="65"/>
      <c r="K16" s="65"/>
    </row>
    <row r="17" spans="1:11" ht="15.6" x14ac:dyDescent="0.3">
      <c r="A17" s="72" t="s">
        <v>16</v>
      </c>
      <c r="B17" s="73" t="s">
        <v>173</v>
      </c>
      <c r="C17" s="73" t="s">
        <v>174</v>
      </c>
      <c r="D17" s="73" t="s">
        <v>181</v>
      </c>
      <c r="E17" s="72">
        <v>202.5</v>
      </c>
      <c r="F17" s="72">
        <v>2.27</v>
      </c>
      <c r="G17" s="72">
        <v>16.899999999999999</v>
      </c>
      <c r="H17" s="74">
        <v>1.77E-2</v>
      </c>
      <c r="I17" s="75">
        <v>6.47</v>
      </c>
      <c r="J17" s="65"/>
      <c r="K17" s="65"/>
    </row>
    <row r="18" spans="1:11" ht="15.6" x14ac:dyDescent="0.3">
      <c r="A18" s="72" t="s">
        <v>17</v>
      </c>
      <c r="B18" s="73" t="s">
        <v>177</v>
      </c>
      <c r="C18" s="73" t="s">
        <v>180</v>
      </c>
      <c r="D18" s="73" t="s">
        <v>181</v>
      </c>
      <c r="E18" s="72">
        <v>225</v>
      </c>
      <c r="F18" s="72">
        <v>2.69</v>
      </c>
      <c r="G18" s="72">
        <v>16.91</v>
      </c>
      <c r="H18" s="74">
        <v>1.55E-2</v>
      </c>
      <c r="I18" s="75">
        <v>5.66</v>
      </c>
      <c r="J18" s="65"/>
      <c r="K18" s="65"/>
    </row>
    <row r="19" spans="1:11" ht="15.6" x14ac:dyDescent="0.3">
      <c r="A19" s="72" t="s">
        <v>16</v>
      </c>
      <c r="B19" s="73" t="s">
        <v>173</v>
      </c>
      <c r="C19" s="73" t="s">
        <v>180</v>
      </c>
      <c r="D19" s="73" t="s">
        <v>179</v>
      </c>
      <c r="E19" s="72">
        <v>202.5</v>
      </c>
      <c r="F19" s="72">
        <v>2.68</v>
      </c>
      <c r="G19" s="72">
        <v>13.22</v>
      </c>
      <c r="H19" s="74">
        <v>1.38E-2</v>
      </c>
      <c r="I19" s="75">
        <v>5.03</v>
      </c>
      <c r="J19" s="65"/>
      <c r="K19" s="65"/>
    </row>
    <row r="20" spans="1:11" ht="15.6" x14ac:dyDescent="0.3">
      <c r="A20" s="72" t="s">
        <v>16</v>
      </c>
      <c r="B20" s="73" t="s">
        <v>173</v>
      </c>
      <c r="C20" s="73" t="s">
        <v>183</v>
      </c>
      <c r="D20" s="73" t="s">
        <v>175</v>
      </c>
      <c r="E20" s="72">
        <v>202.5</v>
      </c>
      <c r="F20" s="72">
        <v>3.18</v>
      </c>
      <c r="G20" s="72">
        <v>15.2</v>
      </c>
      <c r="H20" s="74">
        <v>1.34E-2</v>
      </c>
      <c r="I20" s="75">
        <v>4.88</v>
      </c>
      <c r="J20" s="65"/>
      <c r="K20" s="65"/>
    </row>
    <row r="21" spans="1:11" ht="15.6" x14ac:dyDescent="0.3">
      <c r="A21" s="72" t="s">
        <v>17</v>
      </c>
      <c r="B21" s="73" t="s">
        <v>177</v>
      </c>
      <c r="C21" s="73" t="s">
        <v>184</v>
      </c>
      <c r="D21" s="73" t="s">
        <v>179</v>
      </c>
      <c r="E21" s="72">
        <v>225</v>
      </c>
      <c r="F21" s="72">
        <v>1.39</v>
      </c>
      <c r="G21" s="72">
        <v>12.76</v>
      </c>
      <c r="H21" s="74">
        <v>1.2800000000000001E-2</v>
      </c>
      <c r="I21" s="75">
        <v>4.67</v>
      </c>
      <c r="J21" s="65"/>
      <c r="K21" s="65"/>
    </row>
    <row r="22" spans="1:11" ht="15.6" x14ac:dyDescent="0.3">
      <c r="A22" s="72" t="s">
        <v>18</v>
      </c>
      <c r="B22" s="73" t="s">
        <v>185</v>
      </c>
      <c r="C22" s="73" t="s">
        <v>178</v>
      </c>
      <c r="D22" s="73" t="s">
        <v>175</v>
      </c>
      <c r="E22" s="72">
        <v>247.5</v>
      </c>
      <c r="F22" s="72">
        <v>1.76</v>
      </c>
      <c r="G22" s="72">
        <v>14.84</v>
      </c>
      <c r="H22" s="74">
        <v>1.0200000000000001E-2</v>
      </c>
      <c r="I22" s="75">
        <v>3.71</v>
      </c>
      <c r="J22" s="65"/>
      <c r="K22" s="65"/>
    </row>
    <row r="23" spans="1:11" ht="15.6" x14ac:dyDescent="0.3">
      <c r="A23" s="72" t="s">
        <v>16</v>
      </c>
      <c r="B23" s="73" t="s">
        <v>173</v>
      </c>
      <c r="C23" s="73" t="s">
        <v>183</v>
      </c>
      <c r="D23" s="73" t="s">
        <v>181</v>
      </c>
      <c r="E23" s="72">
        <v>202.5</v>
      </c>
      <c r="F23" s="72">
        <v>3.21</v>
      </c>
      <c r="G23" s="72">
        <v>16.88</v>
      </c>
      <c r="H23" s="74">
        <v>1.01E-2</v>
      </c>
      <c r="I23" s="75">
        <v>3.67</v>
      </c>
      <c r="J23" s="65"/>
      <c r="K23" s="65"/>
    </row>
    <row r="24" spans="1:11" ht="15.6" x14ac:dyDescent="0.3">
      <c r="A24" s="72" t="s">
        <v>20</v>
      </c>
      <c r="B24" s="73" t="s">
        <v>186</v>
      </c>
      <c r="C24" s="73" t="s">
        <v>178</v>
      </c>
      <c r="D24" s="73" t="s">
        <v>181</v>
      </c>
      <c r="E24" s="72">
        <v>292.5</v>
      </c>
      <c r="F24" s="72">
        <v>1.76</v>
      </c>
      <c r="G24" s="72">
        <v>17.149999999999999</v>
      </c>
      <c r="H24" s="74">
        <v>8.8000000000000005E-3</v>
      </c>
      <c r="I24" s="75">
        <v>3.21</v>
      </c>
      <c r="J24" s="65"/>
      <c r="K24" s="65"/>
    </row>
    <row r="25" spans="1:11" ht="15.6" x14ac:dyDescent="0.3">
      <c r="A25" s="72" t="s">
        <v>17</v>
      </c>
      <c r="B25" s="73" t="s">
        <v>177</v>
      </c>
      <c r="C25" s="73" t="s">
        <v>174</v>
      </c>
      <c r="D25" s="73" t="s">
        <v>187</v>
      </c>
      <c r="E25" s="72">
        <v>225</v>
      </c>
      <c r="F25" s="72">
        <v>2.25</v>
      </c>
      <c r="G25" s="72">
        <v>19.14</v>
      </c>
      <c r="H25" s="74">
        <v>7.7000000000000002E-3</v>
      </c>
      <c r="I25" s="75">
        <v>2.82</v>
      </c>
      <c r="J25" s="65"/>
      <c r="K25" s="65"/>
    </row>
    <row r="26" spans="1:11" ht="15.6" x14ac:dyDescent="0.3">
      <c r="A26" s="72" t="s">
        <v>15</v>
      </c>
      <c r="B26" s="73" t="s">
        <v>188</v>
      </c>
      <c r="C26" s="73" t="s">
        <v>180</v>
      </c>
      <c r="D26" s="73" t="s">
        <v>189</v>
      </c>
      <c r="E26" s="72">
        <v>180</v>
      </c>
      <c r="F26" s="72">
        <v>2.72</v>
      </c>
      <c r="G26" s="72">
        <v>8.94</v>
      </c>
      <c r="H26" s="74">
        <v>7.7000000000000002E-3</v>
      </c>
      <c r="I26" s="75">
        <v>2.82</v>
      </c>
      <c r="J26" s="65"/>
      <c r="K26" s="65"/>
    </row>
    <row r="27" spans="1:11" ht="15.6" x14ac:dyDescent="0.3">
      <c r="A27" s="72" t="s">
        <v>15</v>
      </c>
      <c r="B27" s="73" t="s">
        <v>188</v>
      </c>
      <c r="C27" s="73" t="s">
        <v>174</v>
      </c>
      <c r="D27" s="73" t="s">
        <v>189</v>
      </c>
      <c r="E27" s="72">
        <v>180</v>
      </c>
      <c r="F27" s="72">
        <v>2.27</v>
      </c>
      <c r="G27" s="72">
        <v>8.86</v>
      </c>
      <c r="H27" s="74">
        <v>7.6E-3</v>
      </c>
      <c r="I27" s="75">
        <v>2.79</v>
      </c>
      <c r="J27" s="65"/>
      <c r="K27" s="65"/>
    </row>
    <row r="28" spans="1:11" ht="15.6" x14ac:dyDescent="0.3">
      <c r="A28" s="72" t="s">
        <v>17</v>
      </c>
      <c r="B28" s="73" t="s">
        <v>177</v>
      </c>
      <c r="C28" s="73" t="s">
        <v>178</v>
      </c>
      <c r="D28" s="73" t="s">
        <v>182</v>
      </c>
      <c r="E28" s="72">
        <v>225</v>
      </c>
      <c r="F28" s="72">
        <v>1.69</v>
      </c>
      <c r="G28" s="72">
        <v>11.61</v>
      </c>
      <c r="H28" s="74">
        <v>7.3000000000000001E-3</v>
      </c>
      <c r="I28" s="75">
        <v>2.66</v>
      </c>
      <c r="J28" s="65"/>
      <c r="K28" s="65"/>
    </row>
    <row r="29" spans="1:11" ht="15.6" x14ac:dyDescent="0.3">
      <c r="A29" s="72" t="s">
        <v>20</v>
      </c>
      <c r="B29" s="73" t="s">
        <v>186</v>
      </c>
      <c r="C29" s="73" t="s">
        <v>178</v>
      </c>
      <c r="D29" s="73" t="s">
        <v>175</v>
      </c>
      <c r="E29" s="72">
        <v>292.5</v>
      </c>
      <c r="F29" s="72">
        <v>1.7</v>
      </c>
      <c r="G29" s="72">
        <v>15.41</v>
      </c>
      <c r="H29" s="74">
        <v>7.1000000000000004E-3</v>
      </c>
      <c r="I29" s="75">
        <v>2.57</v>
      </c>
      <c r="J29" s="65"/>
      <c r="K29" s="65"/>
    </row>
    <row r="30" spans="1:11" ht="15.6" x14ac:dyDescent="0.3">
      <c r="A30" s="72" t="s">
        <v>16</v>
      </c>
      <c r="B30" s="73" t="s">
        <v>173</v>
      </c>
      <c r="C30" s="73" t="s">
        <v>178</v>
      </c>
      <c r="D30" s="73" t="s">
        <v>181</v>
      </c>
      <c r="E30" s="72">
        <v>202.5</v>
      </c>
      <c r="F30" s="72">
        <v>1.83</v>
      </c>
      <c r="G30" s="72">
        <v>16.88</v>
      </c>
      <c r="H30" s="74">
        <v>6.8999999999999999E-3</v>
      </c>
      <c r="I30" s="75">
        <v>2.5299999999999998</v>
      </c>
      <c r="J30" s="65"/>
      <c r="K30" s="65"/>
    </row>
    <row r="31" spans="1:11" ht="15.6" x14ac:dyDescent="0.3">
      <c r="A31" s="72" t="s">
        <v>16</v>
      </c>
      <c r="B31" s="73" t="s">
        <v>173</v>
      </c>
      <c r="C31" s="73" t="s">
        <v>174</v>
      </c>
      <c r="D31" s="73" t="s">
        <v>182</v>
      </c>
      <c r="E31" s="72">
        <v>202.5</v>
      </c>
      <c r="F31" s="72">
        <v>2.19</v>
      </c>
      <c r="G31" s="72">
        <v>11.53</v>
      </c>
      <c r="H31" s="74">
        <v>6.8999999999999999E-3</v>
      </c>
      <c r="I31" s="75">
        <v>2.5099999999999998</v>
      </c>
      <c r="J31" s="65"/>
      <c r="K31" s="65"/>
    </row>
    <row r="32" spans="1:11" ht="15.6" x14ac:dyDescent="0.3">
      <c r="A32" s="72" t="s">
        <v>16</v>
      </c>
      <c r="B32" s="73" t="s">
        <v>173</v>
      </c>
      <c r="C32" s="73" t="s">
        <v>184</v>
      </c>
      <c r="D32" s="73" t="s">
        <v>182</v>
      </c>
      <c r="E32" s="72">
        <v>202.5</v>
      </c>
      <c r="F32" s="72">
        <v>1.38</v>
      </c>
      <c r="G32" s="72">
        <v>11.27</v>
      </c>
      <c r="H32" s="74">
        <v>6.7000000000000002E-3</v>
      </c>
      <c r="I32" s="75">
        <v>2.4500000000000002</v>
      </c>
      <c r="J32" s="65"/>
      <c r="K32" s="65"/>
    </row>
    <row r="33" spans="1:11" ht="15.6" x14ac:dyDescent="0.3">
      <c r="A33" s="72" t="s">
        <v>16</v>
      </c>
      <c r="B33" s="73" t="s">
        <v>173</v>
      </c>
      <c r="C33" s="73" t="s">
        <v>184</v>
      </c>
      <c r="D33" s="73" t="s">
        <v>179</v>
      </c>
      <c r="E33" s="72">
        <v>202.5</v>
      </c>
      <c r="F33" s="72">
        <v>1.41</v>
      </c>
      <c r="G33" s="72">
        <v>12.62</v>
      </c>
      <c r="H33" s="74">
        <v>6.0000000000000001E-3</v>
      </c>
      <c r="I33" s="75">
        <v>2.1800000000000002</v>
      </c>
      <c r="J33" s="65"/>
      <c r="K33" s="65"/>
    </row>
    <row r="34" spans="1:11" ht="15.6" x14ac:dyDescent="0.3">
      <c r="A34" s="72" t="s">
        <v>15</v>
      </c>
      <c r="B34" s="73" t="s">
        <v>188</v>
      </c>
      <c r="C34" s="73" t="s">
        <v>178</v>
      </c>
      <c r="D34" s="73" t="s">
        <v>182</v>
      </c>
      <c r="E34" s="72">
        <v>180</v>
      </c>
      <c r="F34" s="72">
        <v>1.8</v>
      </c>
      <c r="G34" s="72">
        <v>10.71</v>
      </c>
      <c r="H34" s="74">
        <v>5.5999999999999999E-3</v>
      </c>
      <c r="I34" s="75">
        <v>2.04</v>
      </c>
      <c r="J34" s="65"/>
      <c r="K34" s="65"/>
    </row>
    <row r="35" spans="1:11" ht="15.6" x14ac:dyDescent="0.3">
      <c r="A35" s="72" t="s">
        <v>19</v>
      </c>
      <c r="B35" s="73" t="s">
        <v>190</v>
      </c>
      <c r="C35" s="73" t="s">
        <v>178</v>
      </c>
      <c r="D35" s="73" t="s">
        <v>175</v>
      </c>
      <c r="E35" s="72">
        <v>270</v>
      </c>
      <c r="F35" s="72">
        <v>1.73</v>
      </c>
      <c r="G35" s="72">
        <v>15.08</v>
      </c>
      <c r="H35" s="74">
        <v>5.4999999999999997E-3</v>
      </c>
      <c r="I35" s="75">
        <v>2.02</v>
      </c>
      <c r="J35" s="65"/>
      <c r="K35" s="65"/>
    </row>
    <row r="36" spans="1:11" ht="15.6" x14ac:dyDescent="0.3">
      <c r="A36" s="72" t="s">
        <v>17</v>
      </c>
      <c r="B36" s="73" t="s">
        <v>177</v>
      </c>
      <c r="C36" s="73" t="s">
        <v>184</v>
      </c>
      <c r="D36" s="73" t="s">
        <v>182</v>
      </c>
      <c r="E36" s="72">
        <v>225</v>
      </c>
      <c r="F36" s="72">
        <v>1.36</v>
      </c>
      <c r="G36" s="72">
        <v>11.45</v>
      </c>
      <c r="H36" s="74">
        <v>5.4999999999999997E-3</v>
      </c>
      <c r="I36" s="75">
        <v>1.99</v>
      </c>
      <c r="J36" s="65"/>
      <c r="K36" s="65"/>
    </row>
    <row r="37" spans="1:11" ht="15.6" x14ac:dyDescent="0.3">
      <c r="A37" s="72" t="s">
        <v>15</v>
      </c>
      <c r="B37" s="73" t="s">
        <v>188</v>
      </c>
      <c r="C37" s="73" t="s">
        <v>178</v>
      </c>
      <c r="D37" s="73" t="s">
        <v>189</v>
      </c>
      <c r="E37" s="72">
        <v>180</v>
      </c>
      <c r="F37" s="72">
        <v>1.8</v>
      </c>
      <c r="G37" s="72">
        <v>9.23</v>
      </c>
      <c r="H37" s="74">
        <v>4.4000000000000003E-3</v>
      </c>
      <c r="I37" s="75">
        <v>1.61</v>
      </c>
      <c r="J37" s="65"/>
      <c r="K37" s="65"/>
    </row>
    <row r="38" spans="1:11" ht="15.6" x14ac:dyDescent="0.3">
      <c r="A38" s="72" t="s">
        <v>17</v>
      </c>
      <c r="B38" s="73" t="s">
        <v>177</v>
      </c>
      <c r="C38" s="73" t="s">
        <v>178</v>
      </c>
      <c r="D38" s="73" t="s">
        <v>187</v>
      </c>
      <c r="E38" s="72">
        <v>225</v>
      </c>
      <c r="F38" s="72">
        <v>1.82</v>
      </c>
      <c r="G38" s="72">
        <v>19.21</v>
      </c>
      <c r="H38" s="74">
        <v>4.1999999999999997E-3</v>
      </c>
      <c r="I38" s="75">
        <v>1.53</v>
      </c>
      <c r="J38" s="65"/>
      <c r="K38" s="65"/>
    </row>
    <row r="39" spans="1:11" ht="15.6" x14ac:dyDescent="0.3">
      <c r="A39" s="72" t="s">
        <v>17</v>
      </c>
      <c r="B39" s="73" t="s">
        <v>177</v>
      </c>
      <c r="C39" s="73" t="s">
        <v>184</v>
      </c>
      <c r="D39" s="73" t="s">
        <v>175</v>
      </c>
      <c r="E39" s="72">
        <v>225</v>
      </c>
      <c r="F39" s="72">
        <v>1.41</v>
      </c>
      <c r="G39" s="72">
        <v>14.86</v>
      </c>
      <c r="H39" s="74">
        <v>4.1999999999999997E-3</v>
      </c>
      <c r="I39" s="75">
        <v>1.52</v>
      </c>
      <c r="J39" s="65"/>
      <c r="K39" s="65"/>
    </row>
    <row r="40" spans="1:11" ht="15.6" x14ac:dyDescent="0.3">
      <c r="A40" s="72" t="s">
        <v>17</v>
      </c>
      <c r="B40" s="73" t="s">
        <v>177</v>
      </c>
      <c r="C40" s="73" t="s">
        <v>183</v>
      </c>
      <c r="D40" s="73" t="s">
        <v>181</v>
      </c>
      <c r="E40" s="72">
        <v>225</v>
      </c>
      <c r="F40" s="72">
        <v>3.21</v>
      </c>
      <c r="G40" s="72">
        <v>17.04</v>
      </c>
      <c r="H40" s="74">
        <v>4.1000000000000003E-3</v>
      </c>
      <c r="I40" s="75">
        <v>1.51</v>
      </c>
      <c r="J40" s="65"/>
      <c r="K40" s="65"/>
    </row>
    <row r="41" spans="1:11" ht="15.6" x14ac:dyDescent="0.3">
      <c r="A41" s="72" t="s">
        <v>16</v>
      </c>
      <c r="B41" s="73" t="s">
        <v>173</v>
      </c>
      <c r="C41" s="73" t="s">
        <v>191</v>
      </c>
      <c r="D41" s="73" t="s">
        <v>181</v>
      </c>
      <c r="E41" s="72">
        <v>202.5</v>
      </c>
      <c r="F41" s="72">
        <v>3.69</v>
      </c>
      <c r="G41" s="72">
        <v>17.03</v>
      </c>
      <c r="H41" s="74">
        <v>3.8999999999999998E-3</v>
      </c>
      <c r="I41" s="75">
        <v>1.44</v>
      </c>
      <c r="J41" s="65"/>
      <c r="K41" s="65"/>
    </row>
    <row r="42" spans="1:11" ht="15.6" x14ac:dyDescent="0.3">
      <c r="A42" s="72" t="s">
        <v>16</v>
      </c>
      <c r="B42" s="73" t="s">
        <v>173</v>
      </c>
      <c r="C42" s="73" t="s">
        <v>174</v>
      </c>
      <c r="D42" s="73" t="s">
        <v>187</v>
      </c>
      <c r="E42" s="72">
        <v>202.5</v>
      </c>
      <c r="F42" s="72">
        <v>2.25</v>
      </c>
      <c r="G42" s="72">
        <v>19.12</v>
      </c>
      <c r="H42" s="74">
        <v>3.8E-3</v>
      </c>
      <c r="I42" s="75">
        <v>1.39</v>
      </c>
      <c r="J42" s="65"/>
      <c r="K42" s="65"/>
    </row>
    <row r="43" spans="1:11" ht="15.6" x14ac:dyDescent="0.3">
      <c r="A43" s="72" t="s">
        <v>17</v>
      </c>
      <c r="B43" s="73" t="s">
        <v>177</v>
      </c>
      <c r="C43" s="73" t="s">
        <v>183</v>
      </c>
      <c r="D43" s="73" t="s">
        <v>175</v>
      </c>
      <c r="E43" s="72">
        <v>225</v>
      </c>
      <c r="F43" s="72">
        <v>3.17</v>
      </c>
      <c r="G43" s="72">
        <v>15.23</v>
      </c>
      <c r="H43" s="74">
        <v>3.8E-3</v>
      </c>
      <c r="I43" s="75">
        <v>1.37</v>
      </c>
      <c r="J43" s="65"/>
      <c r="K43" s="65"/>
    </row>
    <row r="44" spans="1:11" ht="15.6" x14ac:dyDescent="0.3">
      <c r="A44" s="72" t="s">
        <v>15</v>
      </c>
      <c r="B44" s="73" t="s">
        <v>188</v>
      </c>
      <c r="C44" s="73" t="s">
        <v>174</v>
      </c>
      <c r="D44" s="73" t="s">
        <v>182</v>
      </c>
      <c r="E44" s="72">
        <v>180</v>
      </c>
      <c r="F44" s="72">
        <v>2.21</v>
      </c>
      <c r="G44" s="72">
        <v>10.8</v>
      </c>
      <c r="H44" s="74">
        <v>3.7000000000000002E-3</v>
      </c>
      <c r="I44" s="75">
        <v>1.35</v>
      </c>
      <c r="J44" s="65"/>
      <c r="K44" s="65"/>
    </row>
    <row r="45" spans="1:11" ht="15.6" x14ac:dyDescent="0.3">
      <c r="A45" s="72" t="s">
        <v>17</v>
      </c>
      <c r="B45" s="73" t="s">
        <v>177</v>
      </c>
      <c r="C45" s="73" t="s">
        <v>180</v>
      </c>
      <c r="D45" s="73" t="s">
        <v>187</v>
      </c>
      <c r="E45" s="72">
        <v>225</v>
      </c>
      <c r="F45" s="72">
        <v>2.7</v>
      </c>
      <c r="G45" s="72">
        <v>19.13</v>
      </c>
      <c r="H45" s="74">
        <v>3.3999999999999998E-3</v>
      </c>
      <c r="I45" s="75">
        <v>1.25</v>
      </c>
      <c r="J45" s="65"/>
      <c r="K45" s="65"/>
    </row>
    <row r="46" spans="1:11" ht="15.6" x14ac:dyDescent="0.3">
      <c r="A46" s="72" t="s">
        <v>17</v>
      </c>
      <c r="B46" s="73" t="s">
        <v>177</v>
      </c>
      <c r="C46" s="73" t="s">
        <v>180</v>
      </c>
      <c r="D46" s="73" t="s">
        <v>179</v>
      </c>
      <c r="E46" s="72">
        <v>225</v>
      </c>
      <c r="F46" s="72">
        <v>2.65</v>
      </c>
      <c r="G46" s="72">
        <v>13.33</v>
      </c>
      <c r="H46" s="74">
        <v>3.3E-3</v>
      </c>
      <c r="I46" s="75">
        <v>1.22</v>
      </c>
      <c r="J46" s="65"/>
      <c r="K46" s="65"/>
    </row>
    <row r="47" spans="1:11" ht="15.6" x14ac:dyDescent="0.3">
      <c r="A47" s="72" t="s">
        <v>15</v>
      </c>
      <c r="B47" s="73" t="s">
        <v>188</v>
      </c>
      <c r="C47" s="73" t="s">
        <v>183</v>
      </c>
      <c r="D47" s="73" t="s">
        <v>189</v>
      </c>
      <c r="E47" s="72">
        <v>180</v>
      </c>
      <c r="F47" s="72">
        <v>3.21</v>
      </c>
      <c r="G47" s="72">
        <v>9.15</v>
      </c>
      <c r="H47" s="74">
        <v>3.3E-3</v>
      </c>
      <c r="I47" s="75">
        <v>1.19</v>
      </c>
      <c r="J47" s="65"/>
      <c r="K47" s="65"/>
    </row>
    <row r="48" spans="1:11" ht="15.6" x14ac:dyDescent="0.3">
      <c r="A48" s="72" t="s">
        <v>16</v>
      </c>
      <c r="B48" s="73" t="s">
        <v>173</v>
      </c>
      <c r="C48" s="73" t="s">
        <v>180</v>
      </c>
      <c r="D48" s="73" t="s">
        <v>187</v>
      </c>
      <c r="E48" s="72">
        <v>202.5</v>
      </c>
      <c r="F48" s="72">
        <v>2.73</v>
      </c>
      <c r="G48" s="72">
        <v>18.97</v>
      </c>
      <c r="H48" s="74">
        <v>3.2000000000000002E-3</v>
      </c>
      <c r="I48" s="75">
        <v>1.17</v>
      </c>
      <c r="J48" s="65"/>
      <c r="K48" s="65"/>
    </row>
    <row r="49" spans="1:11" ht="15.6" x14ac:dyDescent="0.3">
      <c r="A49" s="72" t="s">
        <v>18</v>
      </c>
      <c r="B49" s="73" t="s">
        <v>185</v>
      </c>
      <c r="C49" s="73" t="s">
        <v>174</v>
      </c>
      <c r="D49" s="73" t="s">
        <v>175</v>
      </c>
      <c r="E49" s="72">
        <v>247.5</v>
      </c>
      <c r="F49" s="72">
        <v>2.14</v>
      </c>
      <c r="G49" s="72">
        <v>15.21</v>
      </c>
      <c r="H49" s="74">
        <v>3.0999999999999999E-3</v>
      </c>
      <c r="I49" s="75">
        <v>1.1399999999999999</v>
      </c>
      <c r="J49" s="65"/>
      <c r="K49" s="65"/>
    </row>
    <row r="50" spans="1:11" ht="15.6" x14ac:dyDescent="0.3">
      <c r="A50" s="72" t="s">
        <v>20</v>
      </c>
      <c r="B50" s="73" t="s">
        <v>186</v>
      </c>
      <c r="C50" s="73" t="s">
        <v>174</v>
      </c>
      <c r="D50" s="73" t="s">
        <v>181</v>
      </c>
      <c r="E50" s="72">
        <v>292.5</v>
      </c>
      <c r="F50" s="72">
        <v>2.14</v>
      </c>
      <c r="G50" s="72">
        <v>17.3</v>
      </c>
      <c r="H50" s="74">
        <v>3.0000000000000001E-3</v>
      </c>
      <c r="I50" s="75">
        <v>1.0900000000000001</v>
      </c>
      <c r="J50" s="65"/>
      <c r="K50" s="65"/>
    </row>
    <row r="51" spans="1:11" ht="15.6" x14ac:dyDescent="0.3">
      <c r="A51" s="72" t="s">
        <v>18</v>
      </c>
      <c r="B51" s="73" t="s">
        <v>185</v>
      </c>
      <c r="C51" s="73" t="s">
        <v>178</v>
      </c>
      <c r="D51" s="73" t="s">
        <v>181</v>
      </c>
      <c r="E51" s="72">
        <v>247.5</v>
      </c>
      <c r="F51" s="72">
        <v>1.79</v>
      </c>
      <c r="G51" s="72">
        <v>16.73</v>
      </c>
      <c r="H51" s="74">
        <v>2.8999999999999998E-3</v>
      </c>
      <c r="I51" s="75">
        <v>1.06</v>
      </c>
      <c r="J51" s="65"/>
      <c r="K51" s="65"/>
    </row>
    <row r="52" spans="1:11" ht="15.6" x14ac:dyDescent="0.3">
      <c r="A52" s="72" t="s">
        <v>16</v>
      </c>
      <c r="B52" s="73" t="s">
        <v>173</v>
      </c>
      <c r="C52" s="73" t="s">
        <v>191</v>
      </c>
      <c r="D52" s="73" t="s">
        <v>175</v>
      </c>
      <c r="E52" s="72">
        <v>202.5</v>
      </c>
      <c r="F52" s="72">
        <v>3.7</v>
      </c>
      <c r="G52" s="72">
        <v>15.13</v>
      </c>
      <c r="H52" s="74">
        <v>2.5999999999999999E-3</v>
      </c>
      <c r="I52" s="75">
        <v>0.95</v>
      </c>
      <c r="J52" s="65"/>
      <c r="K52" s="65"/>
    </row>
    <row r="53" spans="1:11" ht="15.6" x14ac:dyDescent="0.3">
      <c r="A53" s="72" t="s">
        <v>15</v>
      </c>
      <c r="B53" s="73" t="s">
        <v>188</v>
      </c>
      <c r="C53" s="73" t="s">
        <v>174</v>
      </c>
      <c r="D53" s="73" t="s">
        <v>192</v>
      </c>
      <c r="E53" s="72">
        <v>180</v>
      </c>
      <c r="F53" s="72">
        <v>2.2400000000000002</v>
      </c>
      <c r="G53" s="72">
        <v>7.57</v>
      </c>
      <c r="H53" s="74">
        <v>2.5999999999999999E-3</v>
      </c>
      <c r="I53" s="75">
        <v>0.94</v>
      </c>
      <c r="J53" s="65"/>
      <c r="K53" s="65"/>
    </row>
    <row r="54" spans="1:11" ht="15.6" x14ac:dyDescent="0.3">
      <c r="A54" s="72" t="s">
        <v>18</v>
      </c>
      <c r="B54" s="73" t="s">
        <v>185</v>
      </c>
      <c r="C54" s="73" t="s">
        <v>178</v>
      </c>
      <c r="D54" s="73" t="s">
        <v>179</v>
      </c>
      <c r="E54" s="72">
        <v>247.5</v>
      </c>
      <c r="F54" s="72">
        <v>1.7</v>
      </c>
      <c r="G54" s="72">
        <v>13.33</v>
      </c>
      <c r="H54" s="74">
        <v>2.5000000000000001E-3</v>
      </c>
      <c r="I54" s="75">
        <v>0.91</v>
      </c>
      <c r="J54" s="65"/>
      <c r="K54" s="65"/>
    </row>
    <row r="55" spans="1:11" ht="15.6" x14ac:dyDescent="0.3">
      <c r="A55" s="72" t="s">
        <v>20</v>
      </c>
      <c r="B55" s="73" t="s">
        <v>186</v>
      </c>
      <c r="C55" s="73" t="s">
        <v>184</v>
      </c>
      <c r="D55" s="73" t="s">
        <v>175</v>
      </c>
      <c r="E55" s="72">
        <v>292.5</v>
      </c>
      <c r="F55" s="72">
        <v>1.38</v>
      </c>
      <c r="G55" s="72">
        <v>15.08</v>
      </c>
      <c r="H55" s="74">
        <v>2.5000000000000001E-3</v>
      </c>
      <c r="I55" s="75">
        <v>0.89</v>
      </c>
      <c r="J55" s="65"/>
      <c r="K55" s="65"/>
    </row>
    <row r="56" spans="1:11" ht="15.6" x14ac:dyDescent="0.3">
      <c r="A56" s="72" t="s">
        <v>74</v>
      </c>
      <c r="B56" s="73" t="s">
        <v>193</v>
      </c>
      <c r="C56" s="73" t="s">
        <v>178</v>
      </c>
      <c r="D56" s="73" t="s">
        <v>181</v>
      </c>
      <c r="E56" s="72">
        <v>315</v>
      </c>
      <c r="F56" s="72">
        <v>1.75</v>
      </c>
      <c r="G56" s="72">
        <v>17.329999999999998</v>
      </c>
      <c r="H56" s="74">
        <v>2.3999999999999998E-3</v>
      </c>
      <c r="I56" s="75">
        <v>0.89</v>
      </c>
      <c r="J56" s="65"/>
      <c r="K56" s="65"/>
    </row>
    <row r="57" spans="1:11" ht="15.6" x14ac:dyDescent="0.3">
      <c r="A57" s="72" t="s">
        <v>20</v>
      </c>
      <c r="B57" s="73" t="s">
        <v>186</v>
      </c>
      <c r="C57" s="73" t="s">
        <v>178</v>
      </c>
      <c r="D57" s="73" t="s">
        <v>187</v>
      </c>
      <c r="E57" s="72">
        <v>292.5</v>
      </c>
      <c r="F57" s="72">
        <v>1.77</v>
      </c>
      <c r="G57" s="72">
        <v>19.22</v>
      </c>
      <c r="H57" s="74">
        <v>2.3E-3</v>
      </c>
      <c r="I57" s="75">
        <v>0.85</v>
      </c>
      <c r="J57" s="65"/>
      <c r="K57" s="65"/>
    </row>
    <row r="58" spans="1:11" ht="15.6" x14ac:dyDescent="0.3">
      <c r="A58" s="72" t="s">
        <v>19</v>
      </c>
      <c r="B58" s="73" t="s">
        <v>190</v>
      </c>
      <c r="C58" s="73" t="s">
        <v>178</v>
      </c>
      <c r="D58" s="73" t="s">
        <v>181</v>
      </c>
      <c r="E58" s="72">
        <v>270</v>
      </c>
      <c r="F58" s="72">
        <v>1.77</v>
      </c>
      <c r="G58" s="72">
        <v>16.89</v>
      </c>
      <c r="H58" s="74">
        <v>2.3E-3</v>
      </c>
      <c r="I58" s="75">
        <v>0.83</v>
      </c>
      <c r="J58" s="65"/>
      <c r="K58" s="65"/>
    </row>
    <row r="59" spans="1:11" ht="15.6" x14ac:dyDescent="0.3">
      <c r="A59" s="72" t="s">
        <v>16</v>
      </c>
      <c r="B59" s="73" t="s">
        <v>173</v>
      </c>
      <c r="C59" s="73" t="s">
        <v>183</v>
      </c>
      <c r="D59" s="73" t="s">
        <v>187</v>
      </c>
      <c r="E59" s="72">
        <v>202.5</v>
      </c>
      <c r="F59" s="72">
        <v>3.23</v>
      </c>
      <c r="G59" s="72">
        <v>18.989999999999998</v>
      </c>
      <c r="H59" s="74">
        <v>2E-3</v>
      </c>
      <c r="I59" s="75">
        <v>0.74</v>
      </c>
      <c r="J59" s="65"/>
      <c r="K59" s="65"/>
    </row>
    <row r="60" spans="1:11" ht="15.6" x14ac:dyDescent="0.3">
      <c r="A60" s="72" t="s">
        <v>16</v>
      </c>
      <c r="B60" s="73" t="s">
        <v>173</v>
      </c>
      <c r="C60" s="73" t="s">
        <v>183</v>
      </c>
      <c r="D60" s="73" t="s">
        <v>179</v>
      </c>
      <c r="E60" s="72">
        <v>202.5</v>
      </c>
      <c r="F60" s="72">
        <v>3.16</v>
      </c>
      <c r="G60" s="72">
        <v>13.28</v>
      </c>
      <c r="H60" s="74">
        <v>2E-3</v>
      </c>
      <c r="I60" s="75">
        <v>0.72</v>
      </c>
      <c r="J60" s="65"/>
      <c r="K60" s="65"/>
    </row>
    <row r="61" spans="1:11" ht="15.6" x14ac:dyDescent="0.3">
      <c r="A61" s="72" t="s">
        <v>74</v>
      </c>
      <c r="B61" s="73" t="s">
        <v>193</v>
      </c>
      <c r="C61" s="73" t="s">
        <v>178</v>
      </c>
      <c r="D61" s="73" t="s">
        <v>187</v>
      </c>
      <c r="E61" s="72">
        <v>315</v>
      </c>
      <c r="F61" s="72">
        <v>1.78</v>
      </c>
      <c r="G61" s="72">
        <v>19.36</v>
      </c>
      <c r="H61" s="74">
        <v>1.9E-3</v>
      </c>
      <c r="I61" s="75">
        <v>0.7</v>
      </c>
      <c r="J61" s="65"/>
      <c r="K61" s="65"/>
    </row>
    <row r="62" spans="1:11" ht="15.6" x14ac:dyDescent="0.3">
      <c r="A62" s="72" t="s">
        <v>15</v>
      </c>
      <c r="B62" s="73" t="s">
        <v>188</v>
      </c>
      <c r="C62" s="73" t="s">
        <v>180</v>
      </c>
      <c r="D62" s="73" t="s">
        <v>182</v>
      </c>
      <c r="E62" s="72">
        <v>180</v>
      </c>
      <c r="F62" s="72">
        <v>2.74</v>
      </c>
      <c r="G62" s="72">
        <v>10.76</v>
      </c>
      <c r="H62" s="74">
        <v>1.9E-3</v>
      </c>
      <c r="I62" s="75">
        <v>0.7</v>
      </c>
      <c r="J62" s="65"/>
      <c r="K62" s="65"/>
    </row>
    <row r="63" spans="1:11" ht="15.6" x14ac:dyDescent="0.3">
      <c r="A63" s="72" t="s">
        <v>20</v>
      </c>
      <c r="B63" s="73" t="s">
        <v>186</v>
      </c>
      <c r="C63" s="73" t="s">
        <v>184</v>
      </c>
      <c r="D63" s="73" t="s">
        <v>181</v>
      </c>
      <c r="E63" s="72">
        <v>292.5</v>
      </c>
      <c r="F63" s="72">
        <v>1.37</v>
      </c>
      <c r="G63" s="72">
        <v>17.010000000000002</v>
      </c>
      <c r="H63" s="74">
        <v>1.8E-3</v>
      </c>
      <c r="I63" s="75">
        <v>0.66</v>
      </c>
      <c r="J63" s="65"/>
      <c r="K63" s="65"/>
    </row>
    <row r="64" spans="1:11" ht="15.6" x14ac:dyDescent="0.3">
      <c r="A64" s="72" t="s">
        <v>17</v>
      </c>
      <c r="B64" s="73" t="s">
        <v>177</v>
      </c>
      <c r="C64" s="73" t="s">
        <v>184</v>
      </c>
      <c r="D64" s="73" t="s">
        <v>181</v>
      </c>
      <c r="E64" s="72">
        <v>225</v>
      </c>
      <c r="F64" s="72">
        <v>1.39</v>
      </c>
      <c r="G64" s="72">
        <v>16.84</v>
      </c>
      <c r="H64" s="74">
        <v>1.6999999999999999E-3</v>
      </c>
      <c r="I64" s="75">
        <v>0.64</v>
      </c>
      <c r="J64" s="65"/>
      <c r="K64" s="65"/>
    </row>
    <row r="65" spans="1:11" ht="15.6" x14ac:dyDescent="0.3">
      <c r="A65" s="72" t="s">
        <v>16</v>
      </c>
      <c r="B65" s="73" t="s">
        <v>173</v>
      </c>
      <c r="C65" s="73" t="s">
        <v>178</v>
      </c>
      <c r="D65" s="73" t="s">
        <v>187</v>
      </c>
      <c r="E65" s="72">
        <v>202.5</v>
      </c>
      <c r="F65" s="72">
        <v>1.83</v>
      </c>
      <c r="G65" s="72">
        <v>19.190000000000001</v>
      </c>
      <c r="H65" s="74">
        <v>1.5E-3</v>
      </c>
      <c r="I65" s="75">
        <v>0.56999999999999995</v>
      </c>
      <c r="J65" s="65"/>
      <c r="K65" s="65"/>
    </row>
    <row r="66" spans="1:11" ht="15.6" x14ac:dyDescent="0.3">
      <c r="A66" s="72" t="s">
        <v>18</v>
      </c>
      <c r="B66" s="73" t="s">
        <v>185</v>
      </c>
      <c r="C66" s="73" t="s">
        <v>174</v>
      </c>
      <c r="D66" s="73" t="s">
        <v>181</v>
      </c>
      <c r="E66" s="72">
        <v>247.5</v>
      </c>
      <c r="F66" s="72">
        <v>2.1800000000000002</v>
      </c>
      <c r="G66" s="72">
        <v>16.77</v>
      </c>
      <c r="H66" s="74">
        <v>1.5E-3</v>
      </c>
      <c r="I66" s="75">
        <v>0.56000000000000005</v>
      </c>
      <c r="J66" s="65"/>
      <c r="K66" s="65"/>
    </row>
    <row r="67" spans="1:11" ht="15.6" x14ac:dyDescent="0.3">
      <c r="A67" s="72" t="s">
        <v>18</v>
      </c>
      <c r="B67" s="73" t="s">
        <v>185</v>
      </c>
      <c r="C67" s="73" t="s">
        <v>184</v>
      </c>
      <c r="D67" s="73" t="s">
        <v>179</v>
      </c>
      <c r="E67" s="72">
        <v>247.5</v>
      </c>
      <c r="F67" s="72">
        <v>1.35</v>
      </c>
      <c r="G67" s="72">
        <v>13.07</v>
      </c>
      <c r="H67" s="74">
        <v>1.5E-3</v>
      </c>
      <c r="I67" s="75">
        <v>0.53</v>
      </c>
      <c r="J67" s="65"/>
      <c r="K67" s="65"/>
    </row>
    <row r="68" spans="1:11" ht="15.6" x14ac:dyDescent="0.3">
      <c r="A68" s="72" t="s">
        <v>17</v>
      </c>
      <c r="B68" s="73" t="s">
        <v>177</v>
      </c>
      <c r="C68" s="73" t="s">
        <v>174</v>
      </c>
      <c r="D68" s="73" t="s">
        <v>194</v>
      </c>
      <c r="E68" s="72">
        <v>225</v>
      </c>
      <c r="F68" s="72">
        <v>2.2200000000000002</v>
      </c>
      <c r="G68" s="72">
        <v>21.13</v>
      </c>
      <c r="H68" s="74">
        <v>1.4E-3</v>
      </c>
      <c r="I68" s="75">
        <v>0.53</v>
      </c>
      <c r="J68" s="65"/>
      <c r="K68" s="65"/>
    </row>
    <row r="69" spans="1:11" ht="15.6" x14ac:dyDescent="0.3">
      <c r="A69" s="72" t="s">
        <v>18</v>
      </c>
      <c r="B69" s="73" t="s">
        <v>185</v>
      </c>
      <c r="C69" s="73" t="s">
        <v>184</v>
      </c>
      <c r="D69" s="73" t="s">
        <v>175</v>
      </c>
      <c r="E69" s="72">
        <v>247.5</v>
      </c>
      <c r="F69" s="72">
        <v>1.4</v>
      </c>
      <c r="G69" s="72">
        <v>14.72</v>
      </c>
      <c r="H69" s="74">
        <v>1.4E-3</v>
      </c>
      <c r="I69" s="75">
        <v>0.51</v>
      </c>
      <c r="J69" s="65"/>
      <c r="K69" s="65"/>
    </row>
    <row r="70" spans="1:11" ht="15.6" x14ac:dyDescent="0.3">
      <c r="A70" s="72" t="s">
        <v>16</v>
      </c>
      <c r="B70" s="73" t="s">
        <v>173</v>
      </c>
      <c r="C70" s="73" t="s">
        <v>184</v>
      </c>
      <c r="D70" s="73" t="s">
        <v>175</v>
      </c>
      <c r="E70" s="72">
        <v>202.5</v>
      </c>
      <c r="F70" s="72">
        <v>1.42</v>
      </c>
      <c r="G70" s="72">
        <v>14.74</v>
      </c>
      <c r="H70" s="74">
        <v>1.4E-3</v>
      </c>
      <c r="I70" s="75">
        <v>0.5</v>
      </c>
      <c r="J70" s="65"/>
      <c r="K70" s="65"/>
    </row>
    <row r="71" spans="1:11" ht="15.6" x14ac:dyDescent="0.3">
      <c r="A71" s="72" t="s">
        <v>19</v>
      </c>
      <c r="B71" s="73" t="s">
        <v>190</v>
      </c>
      <c r="C71" s="73" t="s">
        <v>184</v>
      </c>
      <c r="D71" s="73" t="s">
        <v>175</v>
      </c>
      <c r="E71" s="72">
        <v>270</v>
      </c>
      <c r="F71" s="72">
        <v>1.37</v>
      </c>
      <c r="G71" s="72">
        <v>14.74</v>
      </c>
      <c r="H71" s="74">
        <v>1.2999999999999999E-3</v>
      </c>
      <c r="I71" s="75">
        <v>0.49</v>
      </c>
      <c r="J71" s="65"/>
      <c r="K71" s="65"/>
    </row>
    <row r="72" spans="1:11" ht="15.6" x14ac:dyDescent="0.3">
      <c r="A72" s="72" t="s">
        <v>15</v>
      </c>
      <c r="B72" s="73" t="s">
        <v>188</v>
      </c>
      <c r="C72" s="73" t="s">
        <v>174</v>
      </c>
      <c r="D72" s="73" t="s">
        <v>175</v>
      </c>
      <c r="E72" s="72">
        <v>180</v>
      </c>
      <c r="F72" s="72">
        <v>2.2400000000000002</v>
      </c>
      <c r="G72" s="72">
        <v>14.88</v>
      </c>
      <c r="H72" s="74">
        <v>1.2999999999999999E-3</v>
      </c>
      <c r="I72" s="75">
        <v>0.46</v>
      </c>
      <c r="J72" s="65"/>
      <c r="K72" s="65"/>
    </row>
    <row r="73" spans="1:11" ht="15.6" x14ac:dyDescent="0.3">
      <c r="A73" s="72" t="s">
        <v>16</v>
      </c>
      <c r="B73" s="73" t="s">
        <v>173</v>
      </c>
      <c r="C73" s="73" t="s">
        <v>180</v>
      </c>
      <c r="D73" s="73" t="s">
        <v>182</v>
      </c>
      <c r="E73" s="72">
        <v>202.5</v>
      </c>
      <c r="F73" s="72">
        <v>2.66</v>
      </c>
      <c r="G73" s="72">
        <v>11.5</v>
      </c>
      <c r="H73" s="74">
        <v>1.2999999999999999E-3</v>
      </c>
      <c r="I73" s="75">
        <v>0.46</v>
      </c>
      <c r="J73" s="65"/>
      <c r="K73" s="65"/>
    </row>
    <row r="74" spans="1:11" ht="15.6" x14ac:dyDescent="0.3">
      <c r="A74" s="72" t="s">
        <v>15</v>
      </c>
      <c r="B74" s="73" t="s">
        <v>188</v>
      </c>
      <c r="C74" s="73" t="s">
        <v>178</v>
      </c>
      <c r="D74" s="73" t="s">
        <v>192</v>
      </c>
      <c r="E74" s="72">
        <v>180</v>
      </c>
      <c r="F74" s="72">
        <v>1.84</v>
      </c>
      <c r="G74" s="72">
        <v>7.37</v>
      </c>
      <c r="H74" s="74">
        <v>1.1999999999999999E-3</v>
      </c>
      <c r="I74" s="75">
        <v>0.45</v>
      </c>
      <c r="J74" s="65"/>
      <c r="K74" s="65"/>
    </row>
    <row r="75" spans="1:11" ht="15.6" x14ac:dyDescent="0.3">
      <c r="A75" s="72" t="s">
        <v>19</v>
      </c>
      <c r="B75" s="73" t="s">
        <v>190</v>
      </c>
      <c r="C75" s="73" t="s">
        <v>174</v>
      </c>
      <c r="D75" s="73" t="s">
        <v>181</v>
      </c>
      <c r="E75" s="72">
        <v>270</v>
      </c>
      <c r="F75" s="72">
        <v>2.19</v>
      </c>
      <c r="G75" s="72">
        <v>17.07</v>
      </c>
      <c r="H75" s="74">
        <v>1.1999999999999999E-3</v>
      </c>
      <c r="I75" s="75">
        <v>0.45</v>
      </c>
      <c r="J75" s="65"/>
      <c r="K75" s="65"/>
    </row>
    <row r="76" spans="1:11" ht="15.6" x14ac:dyDescent="0.3">
      <c r="A76" s="72" t="s">
        <v>20</v>
      </c>
      <c r="B76" s="73" t="s">
        <v>186</v>
      </c>
      <c r="C76" s="73" t="s">
        <v>174</v>
      </c>
      <c r="D76" s="73" t="s">
        <v>187</v>
      </c>
      <c r="E76" s="72">
        <v>292.5</v>
      </c>
      <c r="F76" s="72">
        <v>2.17</v>
      </c>
      <c r="G76" s="72">
        <v>19.16</v>
      </c>
      <c r="H76" s="74">
        <v>1.1999999999999999E-3</v>
      </c>
      <c r="I76" s="75">
        <v>0.43</v>
      </c>
      <c r="J76" s="65"/>
      <c r="K76" s="65"/>
    </row>
    <row r="77" spans="1:11" ht="15.6" x14ac:dyDescent="0.3">
      <c r="A77" s="72" t="s">
        <v>17</v>
      </c>
      <c r="B77" s="73" t="s">
        <v>177</v>
      </c>
      <c r="C77" s="73" t="s">
        <v>191</v>
      </c>
      <c r="D77" s="73" t="s">
        <v>181</v>
      </c>
      <c r="E77" s="72">
        <v>225</v>
      </c>
      <c r="F77" s="72">
        <v>3.69</v>
      </c>
      <c r="G77" s="72">
        <v>16.87</v>
      </c>
      <c r="H77" s="74">
        <v>1.1999999999999999E-3</v>
      </c>
      <c r="I77" s="75">
        <v>0.42</v>
      </c>
      <c r="J77" s="65"/>
      <c r="K77" s="65"/>
    </row>
    <row r="78" spans="1:11" ht="15.6" x14ac:dyDescent="0.3">
      <c r="A78" s="72" t="s">
        <v>17</v>
      </c>
      <c r="B78" s="73" t="s">
        <v>177</v>
      </c>
      <c r="C78" s="73" t="s">
        <v>183</v>
      </c>
      <c r="D78" s="73" t="s">
        <v>187</v>
      </c>
      <c r="E78" s="72">
        <v>225</v>
      </c>
      <c r="F78" s="72">
        <v>3.19</v>
      </c>
      <c r="G78" s="72">
        <v>19</v>
      </c>
      <c r="H78" s="74">
        <v>1E-3</v>
      </c>
      <c r="I78" s="75">
        <v>0.38</v>
      </c>
      <c r="J78" s="65"/>
      <c r="K78" s="65"/>
    </row>
    <row r="79" spans="1:11" ht="15.6" x14ac:dyDescent="0.3">
      <c r="A79" s="72" t="s">
        <v>15</v>
      </c>
      <c r="B79" s="73" t="s">
        <v>188</v>
      </c>
      <c r="C79" s="73" t="s">
        <v>180</v>
      </c>
      <c r="D79" s="73" t="s">
        <v>192</v>
      </c>
      <c r="E79" s="72">
        <v>180</v>
      </c>
      <c r="F79" s="72">
        <v>2.7</v>
      </c>
      <c r="G79" s="72">
        <v>7.71</v>
      </c>
      <c r="H79" s="74">
        <v>1E-3</v>
      </c>
      <c r="I79" s="75">
        <v>0.37</v>
      </c>
      <c r="J79" s="65"/>
      <c r="K79" s="65"/>
    </row>
    <row r="80" spans="1:11" ht="15.6" x14ac:dyDescent="0.3">
      <c r="A80" s="72" t="s">
        <v>15</v>
      </c>
      <c r="B80" s="73" t="s">
        <v>188</v>
      </c>
      <c r="C80" s="73" t="s">
        <v>191</v>
      </c>
      <c r="D80" s="73" t="s">
        <v>189</v>
      </c>
      <c r="E80" s="72">
        <v>180</v>
      </c>
      <c r="F80" s="72">
        <v>3.67</v>
      </c>
      <c r="G80" s="72">
        <v>9.42</v>
      </c>
      <c r="H80" s="74">
        <v>1E-3</v>
      </c>
      <c r="I80" s="75">
        <v>0.36</v>
      </c>
      <c r="J80" s="65"/>
      <c r="K80" s="65"/>
    </row>
    <row r="81" spans="1:11" ht="15.6" x14ac:dyDescent="0.3">
      <c r="A81" s="72" t="s">
        <v>16</v>
      </c>
      <c r="B81" s="73" t="s">
        <v>173</v>
      </c>
      <c r="C81" s="73" t="s">
        <v>191</v>
      </c>
      <c r="D81" s="73" t="s">
        <v>187</v>
      </c>
      <c r="E81" s="72">
        <v>202.5</v>
      </c>
      <c r="F81" s="72">
        <v>3.7</v>
      </c>
      <c r="G81" s="72">
        <v>18.850000000000001</v>
      </c>
      <c r="H81" s="74">
        <v>1E-3</v>
      </c>
      <c r="I81" s="75">
        <v>0.35</v>
      </c>
      <c r="J81" s="65"/>
      <c r="K81" s="65"/>
    </row>
    <row r="82" spans="1:11" ht="15.6" x14ac:dyDescent="0.3">
      <c r="A82" s="72" t="s">
        <v>19</v>
      </c>
      <c r="B82" s="73" t="s">
        <v>190</v>
      </c>
      <c r="C82" s="73" t="s">
        <v>174</v>
      </c>
      <c r="D82" s="73" t="s">
        <v>175</v>
      </c>
      <c r="E82" s="72">
        <v>270</v>
      </c>
      <c r="F82" s="72">
        <v>2.15</v>
      </c>
      <c r="G82" s="72">
        <v>15.52</v>
      </c>
      <c r="H82" s="74">
        <v>8.9999999999999998E-4</v>
      </c>
      <c r="I82" s="75">
        <v>0.34</v>
      </c>
      <c r="J82" s="65"/>
      <c r="K82" s="65"/>
    </row>
    <row r="83" spans="1:11" ht="15.6" x14ac:dyDescent="0.3">
      <c r="A83" s="72" t="s">
        <v>17</v>
      </c>
      <c r="B83" s="73" t="s">
        <v>177</v>
      </c>
      <c r="C83" s="73" t="s">
        <v>174</v>
      </c>
      <c r="D83" s="73" t="s">
        <v>182</v>
      </c>
      <c r="E83" s="72">
        <v>225</v>
      </c>
      <c r="F83" s="72">
        <v>2.16</v>
      </c>
      <c r="G83" s="72">
        <v>11.69</v>
      </c>
      <c r="H83" s="74">
        <v>8.9999999999999998E-4</v>
      </c>
      <c r="I83" s="75">
        <v>0.34</v>
      </c>
      <c r="J83" s="65"/>
      <c r="K83" s="65"/>
    </row>
    <row r="84" spans="1:11" ht="15.6" x14ac:dyDescent="0.3">
      <c r="A84" s="72" t="s">
        <v>15</v>
      </c>
      <c r="B84" s="73" t="s">
        <v>188</v>
      </c>
      <c r="C84" s="73" t="s">
        <v>174</v>
      </c>
      <c r="D84" s="73" t="s">
        <v>179</v>
      </c>
      <c r="E84" s="72">
        <v>180</v>
      </c>
      <c r="F84" s="72">
        <v>2.25</v>
      </c>
      <c r="G84" s="72">
        <v>12.82</v>
      </c>
      <c r="H84" s="74">
        <v>8.9999999999999998E-4</v>
      </c>
      <c r="I84" s="75">
        <v>0.33</v>
      </c>
      <c r="J84" s="65"/>
      <c r="K84" s="65"/>
    </row>
    <row r="85" spans="1:11" ht="15.6" x14ac:dyDescent="0.3">
      <c r="A85" s="72" t="s">
        <v>74</v>
      </c>
      <c r="B85" s="73" t="s">
        <v>193</v>
      </c>
      <c r="C85" s="73" t="s">
        <v>174</v>
      </c>
      <c r="D85" s="73" t="s">
        <v>187</v>
      </c>
      <c r="E85" s="72">
        <v>315</v>
      </c>
      <c r="F85" s="72">
        <v>2.11</v>
      </c>
      <c r="G85" s="72">
        <v>19.38</v>
      </c>
      <c r="H85" s="74">
        <v>8.9999999999999998E-4</v>
      </c>
      <c r="I85" s="75">
        <v>0.32</v>
      </c>
      <c r="J85" s="65"/>
      <c r="K85" s="65"/>
    </row>
    <row r="86" spans="1:11" ht="15.6" x14ac:dyDescent="0.3">
      <c r="A86" s="72" t="s">
        <v>17</v>
      </c>
      <c r="B86" s="73" t="s">
        <v>177</v>
      </c>
      <c r="C86" s="73" t="s">
        <v>178</v>
      </c>
      <c r="D86" s="73" t="s">
        <v>194</v>
      </c>
      <c r="E86" s="72">
        <v>225</v>
      </c>
      <c r="F86" s="72">
        <v>1.85</v>
      </c>
      <c r="G86" s="72">
        <v>21.18</v>
      </c>
      <c r="H86" s="74">
        <v>8.0000000000000004E-4</v>
      </c>
      <c r="I86" s="75">
        <v>0.31</v>
      </c>
      <c r="J86" s="65"/>
      <c r="K86" s="65"/>
    </row>
    <row r="87" spans="1:11" ht="15.6" x14ac:dyDescent="0.3">
      <c r="A87" s="72" t="s">
        <v>15</v>
      </c>
      <c r="B87" s="73" t="s">
        <v>188</v>
      </c>
      <c r="C87" s="73" t="s">
        <v>183</v>
      </c>
      <c r="D87" s="73" t="s">
        <v>182</v>
      </c>
      <c r="E87" s="72">
        <v>180</v>
      </c>
      <c r="F87" s="72">
        <v>3.23</v>
      </c>
      <c r="G87" s="72">
        <v>10.67</v>
      </c>
      <c r="H87" s="74">
        <v>8.0000000000000004E-4</v>
      </c>
      <c r="I87" s="75">
        <v>0.31</v>
      </c>
      <c r="J87" s="65"/>
      <c r="K87" s="65"/>
    </row>
    <row r="88" spans="1:11" ht="15.6" x14ac:dyDescent="0.3">
      <c r="A88" s="72" t="s">
        <v>16</v>
      </c>
      <c r="B88" s="73" t="s">
        <v>173</v>
      </c>
      <c r="C88" s="73" t="s">
        <v>195</v>
      </c>
      <c r="D88" s="73" t="s">
        <v>181</v>
      </c>
      <c r="E88" s="72">
        <v>202.5</v>
      </c>
      <c r="F88" s="72">
        <v>4.16</v>
      </c>
      <c r="G88" s="72">
        <v>17.100000000000001</v>
      </c>
      <c r="H88" s="74">
        <v>8.0000000000000004E-4</v>
      </c>
      <c r="I88" s="75">
        <v>0.28999999999999998</v>
      </c>
      <c r="J88" s="65"/>
      <c r="K88" s="65"/>
    </row>
    <row r="89" spans="1:11" ht="15.6" x14ac:dyDescent="0.3">
      <c r="A89" s="72" t="s">
        <v>74</v>
      </c>
      <c r="B89" s="73" t="s">
        <v>193</v>
      </c>
      <c r="C89" s="73" t="s">
        <v>178</v>
      </c>
      <c r="D89" s="73" t="s">
        <v>194</v>
      </c>
      <c r="E89" s="72">
        <v>315</v>
      </c>
      <c r="F89" s="72">
        <v>1.76</v>
      </c>
      <c r="G89" s="72">
        <v>21.28</v>
      </c>
      <c r="H89" s="74">
        <v>6.9999999999999999E-4</v>
      </c>
      <c r="I89" s="75">
        <v>0.25</v>
      </c>
      <c r="J89" s="65"/>
      <c r="K89" s="65"/>
    </row>
    <row r="90" spans="1:11" ht="15.6" x14ac:dyDescent="0.3">
      <c r="A90" s="72" t="s">
        <v>16</v>
      </c>
      <c r="B90" s="73" t="s">
        <v>173</v>
      </c>
      <c r="C90" s="73" t="s">
        <v>178</v>
      </c>
      <c r="D90" s="73" t="s">
        <v>189</v>
      </c>
      <c r="E90" s="72">
        <v>202.5</v>
      </c>
      <c r="F90" s="72">
        <v>1.68</v>
      </c>
      <c r="G90" s="72">
        <v>9.6999999999999993</v>
      </c>
      <c r="H90" s="74">
        <v>6.9999999999999999E-4</v>
      </c>
      <c r="I90" s="75">
        <v>0.25</v>
      </c>
      <c r="J90" s="65"/>
      <c r="K90" s="65"/>
    </row>
    <row r="91" spans="1:11" ht="15.6" x14ac:dyDescent="0.3">
      <c r="A91" s="72" t="s">
        <v>16</v>
      </c>
      <c r="B91" s="73" t="s">
        <v>173</v>
      </c>
      <c r="C91" s="73" t="s">
        <v>184</v>
      </c>
      <c r="D91" s="73" t="s">
        <v>189</v>
      </c>
      <c r="E91" s="72">
        <v>202.5</v>
      </c>
      <c r="F91" s="72">
        <v>1.37</v>
      </c>
      <c r="G91" s="72">
        <v>9.69</v>
      </c>
      <c r="H91" s="74">
        <v>5.9999999999999995E-4</v>
      </c>
      <c r="I91" s="75">
        <v>0.23</v>
      </c>
      <c r="J91" s="65"/>
      <c r="K91" s="65"/>
    </row>
    <row r="92" spans="1:11" ht="15.6" x14ac:dyDescent="0.3">
      <c r="A92" s="72" t="s">
        <v>20</v>
      </c>
      <c r="B92" s="73" t="s">
        <v>186</v>
      </c>
      <c r="C92" s="73" t="s">
        <v>174</v>
      </c>
      <c r="D92" s="73" t="s">
        <v>175</v>
      </c>
      <c r="E92" s="72">
        <v>292.5</v>
      </c>
      <c r="F92" s="72">
        <v>2.09</v>
      </c>
      <c r="G92" s="72">
        <v>15.75</v>
      </c>
      <c r="H92" s="74">
        <v>5.9999999999999995E-4</v>
      </c>
      <c r="I92" s="75">
        <v>0.23</v>
      </c>
      <c r="J92" s="65"/>
      <c r="K92" s="65"/>
    </row>
    <row r="93" spans="1:11" ht="15.6" x14ac:dyDescent="0.3">
      <c r="A93" s="72" t="s">
        <v>16</v>
      </c>
      <c r="B93" s="73" t="s">
        <v>173</v>
      </c>
      <c r="C93" s="73" t="s">
        <v>174</v>
      </c>
      <c r="D93" s="73" t="s">
        <v>194</v>
      </c>
      <c r="E93" s="72">
        <v>202.5</v>
      </c>
      <c r="F93" s="72">
        <v>2.23</v>
      </c>
      <c r="G93" s="72">
        <v>21.08</v>
      </c>
      <c r="H93" s="74">
        <v>5.9999999999999995E-4</v>
      </c>
      <c r="I93" s="75">
        <v>0.23</v>
      </c>
      <c r="J93" s="65"/>
      <c r="K93" s="65"/>
    </row>
    <row r="94" spans="1:11" ht="15.6" x14ac:dyDescent="0.3">
      <c r="A94" s="72" t="s">
        <v>15</v>
      </c>
      <c r="B94" s="73" t="s">
        <v>188</v>
      </c>
      <c r="C94" s="73" t="s">
        <v>180</v>
      </c>
      <c r="D94" s="73" t="s">
        <v>175</v>
      </c>
      <c r="E94" s="72">
        <v>180</v>
      </c>
      <c r="F94" s="72">
        <v>2.71</v>
      </c>
      <c r="G94" s="72">
        <v>14.96</v>
      </c>
      <c r="H94" s="74">
        <v>5.9999999999999995E-4</v>
      </c>
      <c r="I94" s="75">
        <v>0.22</v>
      </c>
      <c r="J94" s="65"/>
      <c r="K94" s="65"/>
    </row>
    <row r="95" spans="1:11" ht="15.6" x14ac:dyDescent="0.3">
      <c r="A95" s="72" t="s">
        <v>15</v>
      </c>
      <c r="B95" s="73" t="s">
        <v>188</v>
      </c>
      <c r="C95" s="73" t="s">
        <v>191</v>
      </c>
      <c r="D95" s="73" t="s">
        <v>182</v>
      </c>
      <c r="E95" s="72">
        <v>180</v>
      </c>
      <c r="F95" s="72">
        <v>3.72</v>
      </c>
      <c r="G95" s="72">
        <v>10.43</v>
      </c>
      <c r="H95" s="74">
        <v>5.9999999999999995E-4</v>
      </c>
      <c r="I95" s="75">
        <v>0.21</v>
      </c>
      <c r="J95" s="65"/>
      <c r="K95" s="65"/>
    </row>
    <row r="96" spans="1:11" ht="15.6" x14ac:dyDescent="0.3">
      <c r="A96" s="72" t="s">
        <v>15</v>
      </c>
      <c r="B96" s="73" t="s">
        <v>188</v>
      </c>
      <c r="C96" s="73" t="s">
        <v>178</v>
      </c>
      <c r="D96" s="73" t="s">
        <v>175</v>
      </c>
      <c r="E96" s="72">
        <v>180</v>
      </c>
      <c r="F96" s="72">
        <v>1.8</v>
      </c>
      <c r="G96" s="72">
        <v>15.02</v>
      </c>
      <c r="H96" s="74">
        <v>5.9999999999999995E-4</v>
      </c>
      <c r="I96" s="75">
        <v>0.21</v>
      </c>
      <c r="J96" s="65"/>
      <c r="K96" s="65"/>
    </row>
    <row r="97" spans="1:11" ht="15.6" x14ac:dyDescent="0.3">
      <c r="A97" s="72" t="s">
        <v>15</v>
      </c>
      <c r="B97" s="73" t="s">
        <v>188</v>
      </c>
      <c r="C97" s="73" t="s">
        <v>184</v>
      </c>
      <c r="D97" s="73" t="s">
        <v>189</v>
      </c>
      <c r="E97" s="72">
        <v>180</v>
      </c>
      <c r="F97" s="72">
        <v>1.38</v>
      </c>
      <c r="G97" s="72">
        <v>9.3000000000000007</v>
      </c>
      <c r="H97" s="74">
        <v>5.9999999999999995E-4</v>
      </c>
      <c r="I97" s="75">
        <v>0.21</v>
      </c>
      <c r="J97" s="65"/>
      <c r="K97" s="65"/>
    </row>
    <row r="98" spans="1:11" ht="15.6" x14ac:dyDescent="0.3">
      <c r="A98" s="72" t="s">
        <v>17</v>
      </c>
      <c r="B98" s="73" t="s">
        <v>177</v>
      </c>
      <c r="C98" s="73" t="s">
        <v>180</v>
      </c>
      <c r="D98" s="73" t="s">
        <v>194</v>
      </c>
      <c r="E98" s="72">
        <v>225</v>
      </c>
      <c r="F98" s="72">
        <v>2.68</v>
      </c>
      <c r="G98" s="72">
        <v>21.09</v>
      </c>
      <c r="H98" s="74">
        <v>5.0000000000000001E-4</v>
      </c>
      <c r="I98" s="75">
        <v>0.2</v>
      </c>
      <c r="J98" s="65"/>
      <c r="K98" s="65"/>
    </row>
    <row r="99" spans="1:11" ht="15.6" x14ac:dyDescent="0.3">
      <c r="A99" s="72" t="s">
        <v>74</v>
      </c>
      <c r="B99" s="73" t="s">
        <v>193</v>
      </c>
      <c r="C99" s="73" t="s">
        <v>174</v>
      </c>
      <c r="D99" s="73" t="s">
        <v>181</v>
      </c>
      <c r="E99" s="72">
        <v>315</v>
      </c>
      <c r="F99" s="72">
        <v>2.0699999999999998</v>
      </c>
      <c r="G99" s="72">
        <v>17.47</v>
      </c>
      <c r="H99" s="74">
        <v>5.0000000000000001E-4</v>
      </c>
      <c r="I99" s="75">
        <v>0.18</v>
      </c>
      <c r="J99" s="65"/>
      <c r="K99" s="65"/>
    </row>
    <row r="100" spans="1:11" ht="15.6" x14ac:dyDescent="0.3">
      <c r="A100" s="72" t="s">
        <v>20</v>
      </c>
      <c r="B100" s="73" t="s">
        <v>186</v>
      </c>
      <c r="C100" s="73" t="s">
        <v>178</v>
      </c>
      <c r="D100" s="73" t="s">
        <v>194</v>
      </c>
      <c r="E100" s="72">
        <v>292.5</v>
      </c>
      <c r="F100" s="72">
        <v>1.74</v>
      </c>
      <c r="G100" s="72">
        <v>21.23</v>
      </c>
      <c r="H100" s="74">
        <v>5.0000000000000001E-4</v>
      </c>
      <c r="I100" s="75">
        <v>0.18</v>
      </c>
      <c r="J100" s="65"/>
      <c r="K100" s="65"/>
    </row>
    <row r="101" spans="1:11" ht="15.6" x14ac:dyDescent="0.3">
      <c r="A101" s="72" t="s">
        <v>15</v>
      </c>
      <c r="B101" s="73" t="s">
        <v>188</v>
      </c>
      <c r="C101" s="73" t="s">
        <v>180</v>
      </c>
      <c r="D101" s="73" t="s">
        <v>179</v>
      </c>
      <c r="E101" s="72">
        <v>180</v>
      </c>
      <c r="F101" s="72">
        <v>2.73</v>
      </c>
      <c r="G101" s="72">
        <v>12.9</v>
      </c>
      <c r="H101" s="74">
        <v>5.0000000000000001E-4</v>
      </c>
      <c r="I101" s="75">
        <v>0.18</v>
      </c>
      <c r="J101" s="65"/>
      <c r="K101" s="65"/>
    </row>
    <row r="102" spans="1:11" ht="15.6" x14ac:dyDescent="0.3">
      <c r="A102" s="72" t="s">
        <v>16</v>
      </c>
      <c r="B102" s="73" t="s">
        <v>173</v>
      </c>
      <c r="C102" s="73" t="s">
        <v>178</v>
      </c>
      <c r="D102" s="73" t="s">
        <v>194</v>
      </c>
      <c r="E102" s="72">
        <v>202.5</v>
      </c>
      <c r="F102" s="72">
        <v>1.83</v>
      </c>
      <c r="G102" s="72">
        <v>21.19</v>
      </c>
      <c r="H102" s="74">
        <v>5.0000000000000001E-4</v>
      </c>
      <c r="I102" s="75">
        <v>0.18</v>
      </c>
      <c r="J102" s="65"/>
      <c r="K102" s="65"/>
    </row>
    <row r="103" spans="1:11" ht="15.6" x14ac:dyDescent="0.3">
      <c r="A103" s="72" t="s">
        <v>20</v>
      </c>
      <c r="B103" s="73" t="s">
        <v>186</v>
      </c>
      <c r="C103" s="73" t="s">
        <v>184</v>
      </c>
      <c r="D103" s="73" t="s">
        <v>187</v>
      </c>
      <c r="E103" s="72">
        <v>292.5</v>
      </c>
      <c r="F103" s="72">
        <v>1.4</v>
      </c>
      <c r="G103" s="72">
        <v>19.239999999999998</v>
      </c>
      <c r="H103" s="74">
        <v>5.0000000000000001E-4</v>
      </c>
      <c r="I103" s="75">
        <v>0.18</v>
      </c>
      <c r="J103" s="65"/>
      <c r="K103" s="65"/>
    </row>
    <row r="104" spans="1:11" ht="15.6" x14ac:dyDescent="0.3">
      <c r="A104" s="72" t="s">
        <v>15</v>
      </c>
      <c r="B104" s="73" t="s">
        <v>188</v>
      </c>
      <c r="C104" s="73" t="s">
        <v>178</v>
      </c>
      <c r="D104" s="73" t="s">
        <v>181</v>
      </c>
      <c r="E104" s="72">
        <v>180</v>
      </c>
      <c r="F104" s="72">
        <v>1.8</v>
      </c>
      <c r="G104" s="72">
        <v>17.05</v>
      </c>
      <c r="H104" s="74">
        <v>5.0000000000000001E-4</v>
      </c>
      <c r="I104" s="75">
        <v>0.18</v>
      </c>
      <c r="J104" s="65"/>
      <c r="K104" s="65"/>
    </row>
    <row r="105" spans="1:11" ht="15.6" x14ac:dyDescent="0.3">
      <c r="A105" s="72" t="s">
        <v>74</v>
      </c>
      <c r="B105" s="73" t="s">
        <v>193</v>
      </c>
      <c r="C105" s="73" t="s">
        <v>178</v>
      </c>
      <c r="D105" s="73" t="s">
        <v>175</v>
      </c>
      <c r="E105" s="72">
        <v>315</v>
      </c>
      <c r="F105" s="72">
        <v>1.67</v>
      </c>
      <c r="G105" s="72">
        <v>15.8</v>
      </c>
      <c r="H105" s="74">
        <v>5.0000000000000001E-4</v>
      </c>
      <c r="I105" s="75">
        <v>0.17</v>
      </c>
      <c r="J105" s="65"/>
      <c r="K105" s="65"/>
    </row>
    <row r="106" spans="1:11" ht="15.6" x14ac:dyDescent="0.3">
      <c r="A106" s="72" t="s">
        <v>15</v>
      </c>
      <c r="B106" s="73" t="s">
        <v>188</v>
      </c>
      <c r="C106" s="73" t="s">
        <v>174</v>
      </c>
      <c r="D106" s="73" t="s">
        <v>181</v>
      </c>
      <c r="E106" s="72">
        <v>180</v>
      </c>
      <c r="F106" s="72">
        <v>2.25</v>
      </c>
      <c r="G106" s="72">
        <v>16.91</v>
      </c>
      <c r="H106" s="74">
        <v>4.0000000000000002E-4</v>
      </c>
      <c r="I106" s="75">
        <v>0.16</v>
      </c>
      <c r="J106" s="65"/>
      <c r="K106" s="65"/>
    </row>
    <row r="107" spans="1:11" ht="15.6" x14ac:dyDescent="0.3">
      <c r="A107" s="72" t="s">
        <v>74</v>
      </c>
      <c r="B107" s="73" t="s">
        <v>193</v>
      </c>
      <c r="C107" s="73" t="s">
        <v>184</v>
      </c>
      <c r="D107" s="73" t="s">
        <v>181</v>
      </c>
      <c r="E107" s="72">
        <v>315</v>
      </c>
      <c r="F107" s="72">
        <v>1.4</v>
      </c>
      <c r="G107" s="72">
        <v>17.09</v>
      </c>
      <c r="H107" s="74">
        <v>4.0000000000000002E-4</v>
      </c>
      <c r="I107" s="75">
        <v>0.16</v>
      </c>
      <c r="J107" s="65"/>
      <c r="K107" s="65"/>
    </row>
    <row r="108" spans="1:11" ht="15.6" x14ac:dyDescent="0.3">
      <c r="A108" s="72" t="s">
        <v>15</v>
      </c>
      <c r="B108" s="73" t="s">
        <v>188</v>
      </c>
      <c r="C108" s="73" t="s">
        <v>178</v>
      </c>
      <c r="D108" s="73" t="s">
        <v>179</v>
      </c>
      <c r="E108" s="72">
        <v>180</v>
      </c>
      <c r="F108" s="72">
        <v>1.81</v>
      </c>
      <c r="G108" s="72">
        <v>12.66</v>
      </c>
      <c r="H108" s="74">
        <v>4.0000000000000002E-4</v>
      </c>
      <c r="I108" s="75">
        <v>0.16</v>
      </c>
      <c r="J108" s="65"/>
      <c r="K108" s="65"/>
    </row>
    <row r="109" spans="1:11" ht="15.6" x14ac:dyDescent="0.3">
      <c r="A109" s="72" t="s">
        <v>15</v>
      </c>
      <c r="B109" s="73" t="s">
        <v>188</v>
      </c>
      <c r="C109" s="73" t="s">
        <v>180</v>
      </c>
      <c r="D109" s="73" t="s">
        <v>181</v>
      </c>
      <c r="E109" s="72">
        <v>180</v>
      </c>
      <c r="F109" s="72">
        <v>2.73</v>
      </c>
      <c r="G109" s="72">
        <v>17.09</v>
      </c>
      <c r="H109" s="74">
        <v>4.0000000000000002E-4</v>
      </c>
      <c r="I109" s="75">
        <v>0.15</v>
      </c>
      <c r="J109" s="65"/>
      <c r="K109" s="65"/>
    </row>
    <row r="110" spans="1:11" ht="15.6" x14ac:dyDescent="0.3">
      <c r="A110" s="72" t="s">
        <v>16</v>
      </c>
      <c r="B110" s="73" t="s">
        <v>173</v>
      </c>
      <c r="C110" s="73" t="s">
        <v>184</v>
      </c>
      <c r="D110" s="73" t="s">
        <v>181</v>
      </c>
      <c r="E110" s="72">
        <v>202.5</v>
      </c>
      <c r="F110" s="72">
        <v>1.42</v>
      </c>
      <c r="G110" s="72">
        <v>16.760000000000002</v>
      </c>
      <c r="H110" s="74">
        <v>4.0000000000000002E-4</v>
      </c>
      <c r="I110" s="75">
        <v>0.15</v>
      </c>
      <c r="J110" s="65"/>
      <c r="K110" s="65"/>
    </row>
    <row r="111" spans="1:11" ht="15.6" x14ac:dyDescent="0.3">
      <c r="A111" s="72" t="s">
        <v>16</v>
      </c>
      <c r="B111" s="73" t="s">
        <v>173</v>
      </c>
      <c r="C111" s="73" t="s">
        <v>191</v>
      </c>
      <c r="D111" s="73" t="s">
        <v>179</v>
      </c>
      <c r="E111" s="72">
        <v>202.5</v>
      </c>
      <c r="F111" s="72">
        <v>3.66</v>
      </c>
      <c r="G111" s="72">
        <v>13.37</v>
      </c>
      <c r="H111" s="74">
        <v>4.0000000000000002E-4</v>
      </c>
      <c r="I111" s="75">
        <v>0.15</v>
      </c>
      <c r="J111" s="65"/>
      <c r="K111" s="65"/>
    </row>
    <row r="112" spans="1:11" ht="15.6" x14ac:dyDescent="0.3">
      <c r="A112" s="72" t="s">
        <v>15</v>
      </c>
      <c r="B112" s="73" t="s">
        <v>188</v>
      </c>
      <c r="C112" s="73" t="s">
        <v>184</v>
      </c>
      <c r="D112" s="73" t="s">
        <v>175</v>
      </c>
      <c r="E112" s="72">
        <v>180</v>
      </c>
      <c r="F112" s="72">
        <v>1.26</v>
      </c>
      <c r="G112" s="72">
        <v>14.88</v>
      </c>
      <c r="H112" s="74">
        <v>4.0000000000000002E-4</v>
      </c>
      <c r="I112" s="75">
        <v>0.14000000000000001</v>
      </c>
      <c r="J112" s="65"/>
      <c r="K112" s="65"/>
    </row>
    <row r="113" spans="1:11" ht="15.6" x14ac:dyDescent="0.3">
      <c r="A113" s="72" t="s">
        <v>16</v>
      </c>
      <c r="B113" s="73" t="s">
        <v>173</v>
      </c>
      <c r="C113" s="73" t="s">
        <v>180</v>
      </c>
      <c r="D113" s="73" t="s">
        <v>194</v>
      </c>
      <c r="E113" s="72">
        <v>202.5</v>
      </c>
      <c r="F113" s="72">
        <v>2.75</v>
      </c>
      <c r="G113" s="72">
        <v>20.94</v>
      </c>
      <c r="H113" s="74">
        <v>4.0000000000000002E-4</v>
      </c>
      <c r="I113" s="75">
        <v>0.14000000000000001</v>
      </c>
      <c r="J113" s="65"/>
      <c r="K113" s="65"/>
    </row>
    <row r="114" spans="1:11" ht="15.6" x14ac:dyDescent="0.3">
      <c r="A114" s="72" t="s">
        <v>15</v>
      </c>
      <c r="B114" s="73" t="s">
        <v>188</v>
      </c>
      <c r="C114" s="73" t="s">
        <v>184</v>
      </c>
      <c r="D114" s="73" t="s">
        <v>182</v>
      </c>
      <c r="E114" s="72">
        <v>180</v>
      </c>
      <c r="F114" s="72">
        <v>1.4</v>
      </c>
      <c r="G114" s="72">
        <v>10.4</v>
      </c>
      <c r="H114" s="74">
        <v>4.0000000000000002E-4</v>
      </c>
      <c r="I114" s="75">
        <v>0.13</v>
      </c>
      <c r="J114" s="65"/>
      <c r="K114" s="65"/>
    </row>
    <row r="115" spans="1:11" ht="15.6" x14ac:dyDescent="0.3">
      <c r="A115" s="72" t="s">
        <v>19</v>
      </c>
      <c r="B115" s="73" t="s">
        <v>190</v>
      </c>
      <c r="C115" s="73" t="s">
        <v>184</v>
      </c>
      <c r="D115" s="73" t="s">
        <v>179</v>
      </c>
      <c r="E115" s="72">
        <v>270</v>
      </c>
      <c r="F115" s="72">
        <v>1.31</v>
      </c>
      <c r="G115" s="72">
        <v>13.23</v>
      </c>
      <c r="H115" s="74">
        <v>4.0000000000000002E-4</v>
      </c>
      <c r="I115" s="75">
        <v>0.13</v>
      </c>
      <c r="J115" s="65"/>
      <c r="K115" s="65"/>
    </row>
    <row r="116" spans="1:11" ht="15.6" x14ac:dyDescent="0.3">
      <c r="A116" s="72" t="s">
        <v>17</v>
      </c>
      <c r="B116" s="73" t="s">
        <v>177</v>
      </c>
      <c r="C116" s="73" t="s">
        <v>191</v>
      </c>
      <c r="D116" s="73" t="s">
        <v>175</v>
      </c>
      <c r="E116" s="72">
        <v>225</v>
      </c>
      <c r="F116" s="72">
        <v>3.65</v>
      </c>
      <c r="G116" s="72">
        <v>15.28</v>
      </c>
      <c r="H116" s="74">
        <v>2.9999999999999997E-4</v>
      </c>
      <c r="I116" s="75">
        <v>0.12</v>
      </c>
      <c r="J116" s="65"/>
      <c r="K116" s="65"/>
    </row>
    <row r="117" spans="1:11" ht="15.6" x14ac:dyDescent="0.3">
      <c r="A117" s="72" t="s">
        <v>16</v>
      </c>
      <c r="B117" s="73" t="s">
        <v>173</v>
      </c>
      <c r="C117" s="73" t="s">
        <v>174</v>
      </c>
      <c r="D117" s="73" t="s">
        <v>189</v>
      </c>
      <c r="E117" s="72">
        <v>202.5</v>
      </c>
      <c r="F117" s="72">
        <v>2.21</v>
      </c>
      <c r="G117" s="72">
        <v>9.59</v>
      </c>
      <c r="H117" s="74">
        <v>2.9999999999999997E-4</v>
      </c>
      <c r="I117" s="75">
        <v>0.12</v>
      </c>
      <c r="J117" s="65"/>
      <c r="K117" s="65"/>
    </row>
    <row r="118" spans="1:11" ht="15.6" x14ac:dyDescent="0.3">
      <c r="A118" s="72" t="s">
        <v>17</v>
      </c>
      <c r="B118" s="73" t="s">
        <v>177</v>
      </c>
      <c r="C118" s="73" t="s">
        <v>183</v>
      </c>
      <c r="D118" s="73" t="s">
        <v>179</v>
      </c>
      <c r="E118" s="72">
        <v>225</v>
      </c>
      <c r="F118" s="72">
        <v>3.17</v>
      </c>
      <c r="G118" s="72">
        <v>13.36</v>
      </c>
      <c r="H118" s="74">
        <v>2.9999999999999997E-4</v>
      </c>
      <c r="I118" s="75">
        <v>0.11</v>
      </c>
      <c r="J118" s="65"/>
      <c r="K118" s="65"/>
    </row>
    <row r="119" spans="1:11" ht="15.6" x14ac:dyDescent="0.3">
      <c r="A119" s="72" t="s">
        <v>18</v>
      </c>
      <c r="B119" s="73" t="s">
        <v>185</v>
      </c>
      <c r="C119" s="73" t="s">
        <v>184</v>
      </c>
      <c r="D119" s="73" t="s">
        <v>181</v>
      </c>
      <c r="E119" s="72">
        <v>247.5</v>
      </c>
      <c r="F119" s="72">
        <v>1.4</v>
      </c>
      <c r="G119" s="72">
        <v>16.86</v>
      </c>
      <c r="H119" s="74">
        <v>2.9999999999999997E-4</v>
      </c>
      <c r="I119" s="75">
        <v>0.11</v>
      </c>
      <c r="J119" s="65"/>
      <c r="K119" s="65"/>
    </row>
    <row r="120" spans="1:11" ht="15.6" x14ac:dyDescent="0.3">
      <c r="A120" s="72" t="s">
        <v>18</v>
      </c>
      <c r="B120" s="73" t="s">
        <v>185</v>
      </c>
      <c r="C120" s="73" t="s">
        <v>180</v>
      </c>
      <c r="D120" s="73" t="s">
        <v>181</v>
      </c>
      <c r="E120" s="72">
        <v>247.5</v>
      </c>
      <c r="F120" s="72">
        <v>2.65</v>
      </c>
      <c r="G120" s="72">
        <v>17.29</v>
      </c>
      <c r="H120" s="74">
        <v>2.9999999999999997E-4</v>
      </c>
      <c r="I120" s="75">
        <v>0.11</v>
      </c>
      <c r="J120" s="65"/>
      <c r="K120" s="65"/>
    </row>
    <row r="121" spans="1:11" ht="15.6" x14ac:dyDescent="0.3">
      <c r="A121" s="72" t="s">
        <v>74</v>
      </c>
      <c r="B121" s="73" t="s">
        <v>193</v>
      </c>
      <c r="C121" s="73" t="s">
        <v>174</v>
      </c>
      <c r="D121" s="73" t="s">
        <v>194</v>
      </c>
      <c r="E121" s="72">
        <v>315</v>
      </c>
      <c r="F121" s="72">
        <v>2.11</v>
      </c>
      <c r="G121" s="72">
        <v>21.28</v>
      </c>
      <c r="H121" s="74">
        <v>2.9999999999999997E-4</v>
      </c>
      <c r="I121" s="75">
        <v>0.11</v>
      </c>
      <c r="J121" s="65"/>
      <c r="K121" s="65"/>
    </row>
    <row r="122" spans="1:11" ht="15.6" x14ac:dyDescent="0.3">
      <c r="A122" s="72" t="s">
        <v>17</v>
      </c>
      <c r="B122" s="73" t="s">
        <v>177</v>
      </c>
      <c r="C122" s="73" t="s">
        <v>191</v>
      </c>
      <c r="D122" s="73" t="s">
        <v>187</v>
      </c>
      <c r="E122" s="72">
        <v>225</v>
      </c>
      <c r="F122" s="72">
        <v>3.7</v>
      </c>
      <c r="G122" s="72">
        <v>18.96</v>
      </c>
      <c r="H122" s="74">
        <v>2.9999999999999997E-4</v>
      </c>
      <c r="I122" s="75">
        <v>0.11</v>
      </c>
      <c r="J122" s="65"/>
      <c r="K122" s="65"/>
    </row>
    <row r="123" spans="1:11" ht="15.6" x14ac:dyDescent="0.3">
      <c r="A123" s="72" t="s">
        <v>20</v>
      </c>
      <c r="B123" s="73" t="s">
        <v>186</v>
      </c>
      <c r="C123" s="73" t="s">
        <v>174</v>
      </c>
      <c r="D123" s="73" t="s">
        <v>194</v>
      </c>
      <c r="E123" s="72">
        <v>292.5</v>
      </c>
      <c r="F123" s="72">
        <v>2.14</v>
      </c>
      <c r="G123" s="72">
        <v>21.23</v>
      </c>
      <c r="H123" s="74">
        <v>2.9999999999999997E-4</v>
      </c>
      <c r="I123" s="75">
        <v>0.11</v>
      </c>
      <c r="J123" s="65"/>
      <c r="K123" s="65"/>
    </row>
    <row r="124" spans="1:11" ht="15.6" x14ac:dyDescent="0.3">
      <c r="A124" s="72" t="s">
        <v>18</v>
      </c>
      <c r="B124" s="73" t="s">
        <v>185</v>
      </c>
      <c r="C124" s="73" t="s">
        <v>178</v>
      </c>
      <c r="D124" s="73" t="s">
        <v>187</v>
      </c>
      <c r="E124" s="72">
        <v>247.5</v>
      </c>
      <c r="F124" s="72">
        <v>1.77</v>
      </c>
      <c r="G124" s="72">
        <v>19.100000000000001</v>
      </c>
      <c r="H124" s="74">
        <v>2.9999999999999997E-4</v>
      </c>
      <c r="I124" s="75">
        <v>0.1</v>
      </c>
      <c r="J124" s="65"/>
      <c r="K124" s="65"/>
    </row>
    <row r="125" spans="1:11" ht="15.6" x14ac:dyDescent="0.3">
      <c r="A125" s="72" t="s">
        <v>16</v>
      </c>
      <c r="B125" s="73" t="s">
        <v>173</v>
      </c>
      <c r="C125" s="73" t="s">
        <v>195</v>
      </c>
      <c r="D125" s="73" t="s">
        <v>175</v>
      </c>
      <c r="E125" s="72">
        <v>202.5</v>
      </c>
      <c r="F125" s="72">
        <v>4.1399999999999997</v>
      </c>
      <c r="G125" s="72">
        <v>15.26</v>
      </c>
      <c r="H125" s="74">
        <v>2.9999999999999997E-4</v>
      </c>
      <c r="I125" s="75">
        <v>0.1</v>
      </c>
      <c r="J125" s="65"/>
      <c r="K125" s="65"/>
    </row>
    <row r="126" spans="1:11" ht="15.6" x14ac:dyDescent="0.3">
      <c r="A126" s="72" t="s">
        <v>18</v>
      </c>
      <c r="B126" s="73" t="s">
        <v>185</v>
      </c>
      <c r="C126" s="73" t="s">
        <v>174</v>
      </c>
      <c r="D126" s="73" t="s">
        <v>179</v>
      </c>
      <c r="E126" s="72">
        <v>247.5</v>
      </c>
      <c r="F126" s="72">
        <v>2.13</v>
      </c>
      <c r="G126" s="72">
        <v>13.43</v>
      </c>
      <c r="H126" s="74">
        <v>2.9999999999999997E-4</v>
      </c>
      <c r="I126" s="75">
        <v>0.1</v>
      </c>
      <c r="J126" s="65"/>
      <c r="K126" s="65"/>
    </row>
    <row r="127" spans="1:11" ht="15.6" x14ac:dyDescent="0.3">
      <c r="A127" s="72" t="s">
        <v>19</v>
      </c>
      <c r="B127" s="73" t="s">
        <v>190</v>
      </c>
      <c r="C127" s="73" t="s">
        <v>178</v>
      </c>
      <c r="D127" s="73" t="s">
        <v>187</v>
      </c>
      <c r="E127" s="72">
        <v>270</v>
      </c>
      <c r="F127" s="72">
        <v>1.79</v>
      </c>
      <c r="G127" s="72">
        <v>19.18</v>
      </c>
      <c r="H127" s="74">
        <v>2.9999999999999997E-4</v>
      </c>
      <c r="I127" s="75">
        <v>0.1</v>
      </c>
      <c r="J127" s="65"/>
      <c r="K127" s="65"/>
    </row>
    <row r="128" spans="1:11" ht="15.6" x14ac:dyDescent="0.3">
      <c r="A128" s="72" t="s">
        <v>16</v>
      </c>
      <c r="B128" s="73" t="s">
        <v>173</v>
      </c>
      <c r="C128" s="73" t="s">
        <v>183</v>
      </c>
      <c r="D128" s="73" t="s">
        <v>194</v>
      </c>
      <c r="E128" s="72">
        <v>202.5</v>
      </c>
      <c r="F128" s="72">
        <v>3.18</v>
      </c>
      <c r="G128" s="72">
        <v>20.99</v>
      </c>
      <c r="H128" s="74">
        <v>2.9999999999999997E-4</v>
      </c>
      <c r="I128" s="75">
        <v>0.1</v>
      </c>
      <c r="J128" s="65"/>
      <c r="K128" s="65"/>
    </row>
    <row r="129" spans="1:11" ht="15.6" x14ac:dyDescent="0.3">
      <c r="A129" s="72" t="s">
        <v>17</v>
      </c>
      <c r="B129" s="73" t="s">
        <v>177</v>
      </c>
      <c r="C129" s="73" t="s">
        <v>184</v>
      </c>
      <c r="D129" s="73" t="s">
        <v>187</v>
      </c>
      <c r="E129" s="72">
        <v>225</v>
      </c>
      <c r="F129" s="72">
        <v>1.38</v>
      </c>
      <c r="G129" s="72">
        <v>19.22</v>
      </c>
      <c r="H129" s="74">
        <v>2.9999999999999997E-4</v>
      </c>
      <c r="I129" s="75">
        <v>0.09</v>
      </c>
      <c r="J129" s="65"/>
      <c r="K129" s="65"/>
    </row>
    <row r="130" spans="1:11" ht="15.6" x14ac:dyDescent="0.3">
      <c r="A130" s="72" t="s">
        <v>18</v>
      </c>
      <c r="B130" s="73" t="s">
        <v>185</v>
      </c>
      <c r="C130" s="73" t="s">
        <v>174</v>
      </c>
      <c r="D130" s="73" t="s">
        <v>187</v>
      </c>
      <c r="E130" s="72">
        <v>247.5</v>
      </c>
      <c r="F130" s="72">
        <v>2.27</v>
      </c>
      <c r="G130" s="72">
        <v>18.989999999999998</v>
      </c>
      <c r="H130" s="74">
        <v>2.0000000000000001E-4</v>
      </c>
      <c r="I130" s="75">
        <v>0.09</v>
      </c>
      <c r="J130" s="65"/>
      <c r="K130" s="65"/>
    </row>
    <row r="131" spans="1:11" ht="15.6" x14ac:dyDescent="0.3">
      <c r="A131" s="72" t="s">
        <v>19</v>
      </c>
      <c r="B131" s="73" t="s">
        <v>190</v>
      </c>
      <c r="C131" s="73" t="s">
        <v>184</v>
      </c>
      <c r="D131" s="73" t="s">
        <v>181</v>
      </c>
      <c r="E131" s="72">
        <v>270</v>
      </c>
      <c r="F131" s="72">
        <v>1.38</v>
      </c>
      <c r="G131" s="72">
        <v>16.489999999999998</v>
      </c>
      <c r="H131" s="74">
        <v>2.0000000000000001E-4</v>
      </c>
      <c r="I131" s="75">
        <v>0.09</v>
      </c>
      <c r="J131" s="65"/>
      <c r="K131" s="65"/>
    </row>
    <row r="132" spans="1:11" ht="15.6" x14ac:dyDescent="0.3">
      <c r="A132" s="72" t="s">
        <v>16</v>
      </c>
      <c r="B132" s="73" t="s">
        <v>173</v>
      </c>
      <c r="C132" s="73" t="s">
        <v>195</v>
      </c>
      <c r="D132" s="73" t="s">
        <v>187</v>
      </c>
      <c r="E132" s="72">
        <v>202.5</v>
      </c>
      <c r="F132" s="72">
        <v>4.12</v>
      </c>
      <c r="G132" s="72">
        <v>18.760000000000002</v>
      </c>
      <c r="H132" s="74">
        <v>2.0000000000000001E-4</v>
      </c>
      <c r="I132" s="75">
        <v>0.08</v>
      </c>
      <c r="J132" s="65"/>
      <c r="K132" s="65"/>
    </row>
    <row r="133" spans="1:11" ht="15.6" x14ac:dyDescent="0.3">
      <c r="A133" s="72" t="s">
        <v>16</v>
      </c>
      <c r="B133" s="73" t="s">
        <v>173</v>
      </c>
      <c r="C133" s="73" t="s">
        <v>183</v>
      </c>
      <c r="D133" s="73" t="s">
        <v>182</v>
      </c>
      <c r="E133" s="72">
        <v>202.5</v>
      </c>
      <c r="F133" s="72">
        <v>3.24</v>
      </c>
      <c r="G133" s="72">
        <v>11.44</v>
      </c>
      <c r="H133" s="74">
        <v>2.0000000000000001E-4</v>
      </c>
      <c r="I133" s="75">
        <v>0.08</v>
      </c>
      <c r="J133" s="65"/>
      <c r="K133" s="65"/>
    </row>
    <row r="134" spans="1:11" ht="15.6" x14ac:dyDescent="0.3">
      <c r="A134" s="72" t="s">
        <v>74</v>
      </c>
      <c r="B134" s="73" t="s">
        <v>193</v>
      </c>
      <c r="C134" s="73" t="s">
        <v>184</v>
      </c>
      <c r="D134" s="73" t="s">
        <v>187</v>
      </c>
      <c r="E134" s="72">
        <v>315</v>
      </c>
      <c r="F134" s="72">
        <v>1.44</v>
      </c>
      <c r="G134" s="72">
        <v>19.37</v>
      </c>
      <c r="H134" s="74">
        <v>2.0000000000000001E-4</v>
      </c>
      <c r="I134" s="75">
        <v>0.08</v>
      </c>
      <c r="J134" s="65"/>
      <c r="K134" s="65"/>
    </row>
    <row r="135" spans="1:11" ht="15.6" x14ac:dyDescent="0.3">
      <c r="A135" s="72" t="s">
        <v>15</v>
      </c>
      <c r="B135" s="73" t="s">
        <v>188</v>
      </c>
      <c r="C135" s="73" t="s">
        <v>196</v>
      </c>
      <c r="D135" s="73" t="s">
        <v>175</v>
      </c>
      <c r="E135" s="72">
        <v>180</v>
      </c>
      <c r="F135" s="72">
        <v>0.75</v>
      </c>
      <c r="G135" s="72">
        <v>14.77</v>
      </c>
      <c r="H135" s="74">
        <v>2.0000000000000001E-4</v>
      </c>
      <c r="I135" s="75">
        <v>7.0000000000000007E-2</v>
      </c>
      <c r="J135" s="65"/>
      <c r="K135" s="65"/>
    </row>
    <row r="136" spans="1:11" ht="15.6" x14ac:dyDescent="0.3">
      <c r="A136" s="72" t="s">
        <v>15</v>
      </c>
      <c r="B136" s="73" t="s">
        <v>188</v>
      </c>
      <c r="C136" s="73" t="s">
        <v>183</v>
      </c>
      <c r="D136" s="73" t="s">
        <v>179</v>
      </c>
      <c r="E136" s="72">
        <v>180</v>
      </c>
      <c r="F136" s="72">
        <v>3.16</v>
      </c>
      <c r="G136" s="72">
        <v>12.85</v>
      </c>
      <c r="H136" s="74">
        <v>2.0000000000000001E-4</v>
      </c>
      <c r="I136" s="75">
        <v>7.0000000000000007E-2</v>
      </c>
      <c r="J136" s="65"/>
      <c r="K136" s="65"/>
    </row>
    <row r="137" spans="1:11" ht="15.6" x14ac:dyDescent="0.3">
      <c r="A137" s="72" t="s">
        <v>19</v>
      </c>
      <c r="B137" s="73" t="s">
        <v>190</v>
      </c>
      <c r="C137" s="73" t="s">
        <v>174</v>
      </c>
      <c r="D137" s="73" t="s">
        <v>187</v>
      </c>
      <c r="E137" s="72">
        <v>270</v>
      </c>
      <c r="F137" s="72">
        <v>2.27</v>
      </c>
      <c r="G137" s="72">
        <v>19.07</v>
      </c>
      <c r="H137" s="74">
        <v>2.0000000000000001E-4</v>
      </c>
      <c r="I137" s="75">
        <v>7.0000000000000007E-2</v>
      </c>
      <c r="J137" s="65"/>
      <c r="K137" s="65"/>
    </row>
    <row r="138" spans="1:11" ht="15.6" x14ac:dyDescent="0.3">
      <c r="A138" s="72" t="s">
        <v>20</v>
      </c>
      <c r="B138" s="73" t="s">
        <v>186</v>
      </c>
      <c r="C138" s="73" t="s">
        <v>184</v>
      </c>
      <c r="D138" s="73" t="s">
        <v>179</v>
      </c>
      <c r="E138" s="72">
        <v>292.5</v>
      </c>
      <c r="F138" s="72">
        <v>1.3</v>
      </c>
      <c r="G138" s="72">
        <v>13.31</v>
      </c>
      <c r="H138" s="74">
        <v>2.0000000000000001E-4</v>
      </c>
      <c r="I138" s="75">
        <v>7.0000000000000007E-2</v>
      </c>
      <c r="J138" s="65"/>
      <c r="K138" s="65"/>
    </row>
    <row r="139" spans="1:11" ht="15.6" x14ac:dyDescent="0.3">
      <c r="A139" s="72" t="s">
        <v>19</v>
      </c>
      <c r="B139" s="73" t="s">
        <v>190</v>
      </c>
      <c r="C139" s="73" t="s">
        <v>178</v>
      </c>
      <c r="D139" s="73" t="s">
        <v>179</v>
      </c>
      <c r="E139" s="72">
        <v>270</v>
      </c>
      <c r="F139" s="72">
        <v>1.74</v>
      </c>
      <c r="G139" s="72">
        <v>13.53</v>
      </c>
      <c r="H139" s="74">
        <v>2.0000000000000001E-4</v>
      </c>
      <c r="I139" s="75">
        <v>0.06</v>
      </c>
      <c r="J139" s="65"/>
      <c r="K139" s="65"/>
    </row>
    <row r="140" spans="1:11" ht="15.6" x14ac:dyDescent="0.3">
      <c r="A140" s="72" t="s">
        <v>18</v>
      </c>
      <c r="B140" s="73" t="s">
        <v>185</v>
      </c>
      <c r="C140" s="73" t="s">
        <v>180</v>
      </c>
      <c r="D140" s="73" t="s">
        <v>175</v>
      </c>
      <c r="E140" s="72">
        <v>247.5</v>
      </c>
      <c r="F140" s="72">
        <v>2.66</v>
      </c>
      <c r="G140" s="72">
        <v>15.75</v>
      </c>
      <c r="H140" s="74">
        <v>2.0000000000000001E-4</v>
      </c>
      <c r="I140" s="75">
        <v>0.06</v>
      </c>
      <c r="J140" s="65"/>
      <c r="K140" s="65"/>
    </row>
    <row r="141" spans="1:11" ht="15.6" x14ac:dyDescent="0.3">
      <c r="A141" s="72" t="s">
        <v>16</v>
      </c>
      <c r="B141" s="73" t="s">
        <v>173</v>
      </c>
      <c r="C141" s="73" t="s">
        <v>197</v>
      </c>
      <c r="D141" s="73" t="s">
        <v>181</v>
      </c>
      <c r="E141" s="72">
        <v>202.5</v>
      </c>
      <c r="F141" s="72">
        <v>4.6100000000000003</v>
      </c>
      <c r="G141" s="72">
        <v>17.46</v>
      </c>
      <c r="H141" s="74">
        <v>2.0000000000000001E-4</v>
      </c>
      <c r="I141" s="75">
        <v>0.06</v>
      </c>
      <c r="J141" s="65"/>
      <c r="K141" s="65"/>
    </row>
    <row r="142" spans="1:11" ht="15.6" x14ac:dyDescent="0.3">
      <c r="A142" s="72" t="s">
        <v>15</v>
      </c>
      <c r="B142" s="73" t="s">
        <v>188</v>
      </c>
      <c r="C142" s="73" t="s">
        <v>196</v>
      </c>
      <c r="D142" s="73" t="s">
        <v>189</v>
      </c>
      <c r="E142" s="72">
        <v>180</v>
      </c>
      <c r="F142" s="72">
        <v>0.89</v>
      </c>
      <c r="G142" s="72">
        <v>8.52</v>
      </c>
      <c r="H142" s="74">
        <v>1E-4</v>
      </c>
      <c r="I142" s="75">
        <v>0.05</v>
      </c>
      <c r="J142" s="65"/>
      <c r="K142" s="65"/>
    </row>
    <row r="143" spans="1:11" ht="15.6" x14ac:dyDescent="0.3">
      <c r="A143" s="72" t="s">
        <v>15</v>
      </c>
      <c r="B143" s="73" t="s">
        <v>188</v>
      </c>
      <c r="C143" s="73" t="s">
        <v>178</v>
      </c>
      <c r="D143" s="73" t="s">
        <v>187</v>
      </c>
      <c r="E143" s="72">
        <v>180</v>
      </c>
      <c r="F143" s="72">
        <v>1.7</v>
      </c>
      <c r="G143" s="72">
        <v>18.98</v>
      </c>
      <c r="H143" s="74">
        <v>1E-4</v>
      </c>
      <c r="I143" s="75">
        <v>0.05</v>
      </c>
      <c r="J143" s="65"/>
      <c r="K143" s="65"/>
    </row>
    <row r="144" spans="1:11" ht="15.6" x14ac:dyDescent="0.3">
      <c r="A144" s="72" t="s">
        <v>14</v>
      </c>
      <c r="B144" s="73" t="s">
        <v>198</v>
      </c>
      <c r="C144" s="73" t="s">
        <v>196</v>
      </c>
      <c r="D144" s="73" t="s">
        <v>179</v>
      </c>
      <c r="E144" s="72">
        <v>157.5</v>
      </c>
      <c r="F144" s="72">
        <v>0.69</v>
      </c>
      <c r="G144" s="72">
        <v>13.29</v>
      </c>
      <c r="H144" s="74">
        <v>1E-4</v>
      </c>
      <c r="I144" s="75">
        <v>0.05</v>
      </c>
      <c r="J144" s="65"/>
      <c r="K144" s="65"/>
    </row>
    <row r="145" spans="1:11" ht="15.6" x14ac:dyDescent="0.3">
      <c r="A145" s="72" t="s">
        <v>15</v>
      </c>
      <c r="B145" s="73" t="s">
        <v>188</v>
      </c>
      <c r="C145" s="73" t="s">
        <v>183</v>
      </c>
      <c r="D145" s="73" t="s">
        <v>175</v>
      </c>
      <c r="E145" s="72">
        <v>180</v>
      </c>
      <c r="F145" s="72">
        <v>3.23</v>
      </c>
      <c r="G145" s="72">
        <v>14.96</v>
      </c>
      <c r="H145" s="74">
        <v>1E-4</v>
      </c>
      <c r="I145" s="75">
        <v>0.05</v>
      </c>
      <c r="J145" s="65"/>
      <c r="K145" s="65"/>
    </row>
    <row r="146" spans="1:11" ht="15.6" x14ac:dyDescent="0.3">
      <c r="A146" s="72" t="s">
        <v>20</v>
      </c>
      <c r="B146" s="73" t="s">
        <v>186</v>
      </c>
      <c r="C146" s="73" t="s">
        <v>184</v>
      </c>
      <c r="D146" s="73" t="s">
        <v>194</v>
      </c>
      <c r="E146" s="72">
        <v>292.5</v>
      </c>
      <c r="F146" s="72">
        <v>1.41</v>
      </c>
      <c r="G146" s="72">
        <v>21.25</v>
      </c>
      <c r="H146" s="74">
        <v>1E-4</v>
      </c>
      <c r="I146" s="75">
        <v>0.05</v>
      </c>
      <c r="J146" s="65"/>
      <c r="K146" s="65"/>
    </row>
    <row r="147" spans="1:11" ht="15.6" x14ac:dyDescent="0.3">
      <c r="A147" s="72" t="s">
        <v>15</v>
      </c>
      <c r="B147" s="73" t="s">
        <v>188</v>
      </c>
      <c r="C147" s="73" t="s">
        <v>180</v>
      </c>
      <c r="D147" s="73" t="s">
        <v>187</v>
      </c>
      <c r="E147" s="72">
        <v>180</v>
      </c>
      <c r="F147" s="72">
        <v>2.72</v>
      </c>
      <c r="G147" s="72">
        <v>19</v>
      </c>
      <c r="H147" s="74">
        <v>1E-4</v>
      </c>
      <c r="I147" s="75">
        <v>0.05</v>
      </c>
      <c r="J147" s="65"/>
      <c r="K147" s="65"/>
    </row>
    <row r="148" spans="1:11" ht="15.6" x14ac:dyDescent="0.3">
      <c r="A148" s="72" t="s">
        <v>17</v>
      </c>
      <c r="B148" s="73" t="s">
        <v>177</v>
      </c>
      <c r="C148" s="73" t="s">
        <v>183</v>
      </c>
      <c r="D148" s="73" t="s">
        <v>194</v>
      </c>
      <c r="E148" s="72">
        <v>225</v>
      </c>
      <c r="F148" s="72">
        <v>3.21</v>
      </c>
      <c r="G148" s="72">
        <v>21.19</v>
      </c>
      <c r="H148" s="74">
        <v>1E-4</v>
      </c>
      <c r="I148" s="75">
        <v>0.05</v>
      </c>
      <c r="J148" s="65"/>
      <c r="K148" s="65"/>
    </row>
    <row r="149" spans="1:11" ht="15.6" x14ac:dyDescent="0.3">
      <c r="A149" s="72" t="s">
        <v>15</v>
      </c>
      <c r="B149" s="73" t="s">
        <v>188</v>
      </c>
      <c r="C149" s="73" t="s">
        <v>184</v>
      </c>
      <c r="D149" s="73" t="s">
        <v>181</v>
      </c>
      <c r="E149" s="72">
        <v>180</v>
      </c>
      <c r="F149" s="72">
        <v>1.32</v>
      </c>
      <c r="G149" s="72">
        <v>16.97</v>
      </c>
      <c r="H149" s="74">
        <v>1E-4</v>
      </c>
      <c r="I149" s="75">
        <v>0.05</v>
      </c>
      <c r="J149" s="65"/>
      <c r="K149" s="65"/>
    </row>
    <row r="150" spans="1:11" ht="15.6" x14ac:dyDescent="0.3">
      <c r="A150" s="72" t="s">
        <v>15</v>
      </c>
      <c r="B150" s="73" t="s">
        <v>188</v>
      </c>
      <c r="C150" s="73" t="s">
        <v>195</v>
      </c>
      <c r="D150" s="73" t="s">
        <v>189</v>
      </c>
      <c r="E150" s="72">
        <v>180</v>
      </c>
      <c r="F150" s="72">
        <v>4.1399999999999997</v>
      </c>
      <c r="G150" s="72">
        <v>9.6999999999999993</v>
      </c>
      <c r="H150" s="74">
        <v>1E-4</v>
      </c>
      <c r="I150" s="75">
        <v>0.05</v>
      </c>
      <c r="J150" s="65"/>
      <c r="K150" s="65"/>
    </row>
    <row r="151" spans="1:11" ht="15.6" x14ac:dyDescent="0.3">
      <c r="A151" s="72" t="s">
        <v>15</v>
      </c>
      <c r="B151" s="73" t="s">
        <v>188</v>
      </c>
      <c r="C151" s="73" t="s">
        <v>184</v>
      </c>
      <c r="D151" s="73" t="s">
        <v>179</v>
      </c>
      <c r="E151" s="72">
        <v>180</v>
      </c>
      <c r="F151" s="72">
        <v>1.39</v>
      </c>
      <c r="G151" s="72">
        <v>13.2</v>
      </c>
      <c r="H151" s="74">
        <v>1E-4</v>
      </c>
      <c r="I151" s="75">
        <v>0.04</v>
      </c>
      <c r="J151" s="65"/>
      <c r="K151" s="65"/>
    </row>
    <row r="152" spans="1:11" ht="15.6" x14ac:dyDescent="0.3">
      <c r="A152" s="72" t="s">
        <v>15</v>
      </c>
      <c r="B152" s="73" t="s">
        <v>188</v>
      </c>
      <c r="C152" s="73" t="s">
        <v>174</v>
      </c>
      <c r="D152" s="73" t="s">
        <v>187</v>
      </c>
      <c r="E152" s="72">
        <v>180</v>
      </c>
      <c r="F152" s="72">
        <v>2.29</v>
      </c>
      <c r="G152" s="72">
        <v>19.170000000000002</v>
      </c>
      <c r="H152" s="74">
        <v>1E-4</v>
      </c>
      <c r="I152" s="75">
        <v>0.04</v>
      </c>
      <c r="J152" s="65"/>
      <c r="K152" s="65"/>
    </row>
    <row r="153" spans="1:11" ht="15.6" x14ac:dyDescent="0.3">
      <c r="A153" s="72" t="s">
        <v>20</v>
      </c>
      <c r="B153" s="73" t="s">
        <v>186</v>
      </c>
      <c r="C153" s="73" t="s">
        <v>180</v>
      </c>
      <c r="D153" s="73" t="s">
        <v>187</v>
      </c>
      <c r="E153" s="72">
        <v>292.5</v>
      </c>
      <c r="F153" s="72">
        <v>2.67</v>
      </c>
      <c r="G153" s="72">
        <v>19.149999999999999</v>
      </c>
      <c r="H153" s="74">
        <v>1E-4</v>
      </c>
      <c r="I153" s="75">
        <v>0.04</v>
      </c>
      <c r="J153" s="65"/>
      <c r="K153" s="65"/>
    </row>
    <row r="154" spans="1:11" ht="15.6" x14ac:dyDescent="0.3">
      <c r="A154" s="72" t="s">
        <v>19</v>
      </c>
      <c r="B154" s="73" t="s">
        <v>190</v>
      </c>
      <c r="C154" s="73" t="s">
        <v>180</v>
      </c>
      <c r="D154" s="73" t="s">
        <v>181</v>
      </c>
      <c r="E154" s="72">
        <v>270</v>
      </c>
      <c r="F154" s="72">
        <v>2.61</v>
      </c>
      <c r="G154" s="72">
        <v>17.190000000000001</v>
      </c>
      <c r="H154" s="74">
        <v>1E-4</v>
      </c>
      <c r="I154" s="75">
        <v>0.04</v>
      </c>
      <c r="J154" s="65"/>
      <c r="K154" s="65"/>
    </row>
    <row r="155" spans="1:11" ht="15.6" x14ac:dyDescent="0.3">
      <c r="A155" s="72" t="s">
        <v>20</v>
      </c>
      <c r="B155" s="73" t="s">
        <v>186</v>
      </c>
      <c r="C155" s="73" t="s">
        <v>178</v>
      </c>
      <c r="D155" s="73" t="s">
        <v>199</v>
      </c>
      <c r="E155" s="72">
        <v>292.5</v>
      </c>
      <c r="F155" s="72">
        <v>1.73</v>
      </c>
      <c r="G155" s="72">
        <v>23.54</v>
      </c>
      <c r="H155" s="74">
        <v>1E-4</v>
      </c>
      <c r="I155" s="75">
        <v>0.04</v>
      </c>
      <c r="J155" s="65"/>
      <c r="K155" s="65"/>
    </row>
    <row r="156" spans="1:11" ht="15.6" x14ac:dyDescent="0.3">
      <c r="A156" s="72" t="s">
        <v>15</v>
      </c>
      <c r="B156" s="73" t="s">
        <v>188</v>
      </c>
      <c r="C156" s="73" t="s">
        <v>196</v>
      </c>
      <c r="D156" s="73" t="s">
        <v>200</v>
      </c>
      <c r="E156" s="72">
        <v>180</v>
      </c>
      <c r="F156" s="72">
        <v>0.74</v>
      </c>
      <c r="G156" s="72">
        <v>5.09</v>
      </c>
      <c r="H156" s="74">
        <v>1E-4</v>
      </c>
      <c r="I156" s="75">
        <v>0.04</v>
      </c>
      <c r="J156" s="65"/>
      <c r="K156" s="65"/>
    </row>
    <row r="157" spans="1:11" ht="15.6" x14ac:dyDescent="0.3">
      <c r="A157" s="72" t="s">
        <v>16</v>
      </c>
      <c r="B157" s="73" t="s">
        <v>173</v>
      </c>
      <c r="C157" s="73" t="s">
        <v>178</v>
      </c>
      <c r="D157" s="73" t="s">
        <v>200</v>
      </c>
      <c r="E157" s="72">
        <v>202.5</v>
      </c>
      <c r="F157" s="72">
        <v>1.83</v>
      </c>
      <c r="G157" s="72">
        <v>5.0999999999999996</v>
      </c>
      <c r="H157" s="74">
        <v>1E-4</v>
      </c>
      <c r="I157" s="75">
        <v>0.04</v>
      </c>
      <c r="J157" s="65"/>
      <c r="K157" s="65"/>
    </row>
    <row r="158" spans="1:11" ht="15.6" x14ac:dyDescent="0.3">
      <c r="A158" s="72" t="s">
        <v>17</v>
      </c>
      <c r="B158" s="73" t="s">
        <v>177</v>
      </c>
      <c r="C158" s="73" t="s">
        <v>178</v>
      </c>
      <c r="D158" s="73" t="s">
        <v>199</v>
      </c>
      <c r="E158" s="72">
        <v>225</v>
      </c>
      <c r="F158" s="72">
        <v>1.76</v>
      </c>
      <c r="G158" s="72">
        <v>23.4</v>
      </c>
      <c r="H158" s="74">
        <v>1E-4</v>
      </c>
      <c r="I158" s="75">
        <v>0.04</v>
      </c>
      <c r="J158" s="65"/>
      <c r="K158" s="65"/>
    </row>
    <row r="159" spans="1:11" ht="15.6" x14ac:dyDescent="0.3">
      <c r="A159" s="72" t="s">
        <v>17</v>
      </c>
      <c r="B159" s="73" t="s">
        <v>177</v>
      </c>
      <c r="C159" s="73" t="s">
        <v>195</v>
      </c>
      <c r="D159" s="73" t="s">
        <v>187</v>
      </c>
      <c r="E159" s="72">
        <v>225</v>
      </c>
      <c r="F159" s="72">
        <v>4.18</v>
      </c>
      <c r="G159" s="72">
        <v>19.260000000000002</v>
      </c>
      <c r="H159" s="74">
        <v>1E-4</v>
      </c>
      <c r="I159" s="75">
        <v>0.04</v>
      </c>
      <c r="J159" s="65"/>
      <c r="K159" s="65"/>
    </row>
    <row r="160" spans="1:11" ht="15.6" x14ac:dyDescent="0.3">
      <c r="A160" s="72" t="s">
        <v>14</v>
      </c>
      <c r="B160" s="73" t="s">
        <v>198</v>
      </c>
      <c r="C160" s="73" t="s">
        <v>184</v>
      </c>
      <c r="D160" s="73" t="s">
        <v>181</v>
      </c>
      <c r="E160" s="72">
        <v>157.5</v>
      </c>
      <c r="F160" s="72">
        <v>1.35</v>
      </c>
      <c r="G160" s="72">
        <v>17.18</v>
      </c>
      <c r="H160" s="74">
        <v>1E-4</v>
      </c>
      <c r="I160" s="75">
        <v>0.04</v>
      </c>
      <c r="J160" s="65"/>
      <c r="K160" s="65"/>
    </row>
    <row r="161" spans="1:11" ht="15.6" x14ac:dyDescent="0.3">
      <c r="A161" s="72" t="s">
        <v>17</v>
      </c>
      <c r="B161" s="73" t="s">
        <v>177</v>
      </c>
      <c r="C161" s="73" t="s">
        <v>174</v>
      </c>
      <c r="D161" s="73" t="s">
        <v>199</v>
      </c>
      <c r="E161" s="72">
        <v>225</v>
      </c>
      <c r="F161" s="72">
        <v>2.21</v>
      </c>
      <c r="G161" s="72">
        <v>23.28</v>
      </c>
      <c r="H161" s="74">
        <v>1E-4</v>
      </c>
      <c r="I161" s="75">
        <v>0.03</v>
      </c>
      <c r="J161" s="65"/>
      <c r="K161" s="65"/>
    </row>
    <row r="162" spans="1:11" ht="15.6" x14ac:dyDescent="0.3">
      <c r="A162" s="72" t="s">
        <v>18</v>
      </c>
      <c r="B162" s="73" t="s">
        <v>185</v>
      </c>
      <c r="C162" s="73" t="s">
        <v>184</v>
      </c>
      <c r="D162" s="73" t="s">
        <v>182</v>
      </c>
      <c r="E162" s="72">
        <v>247.5</v>
      </c>
      <c r="F162" s="72">
        <v>1.29</v>
      </c>
      <c r="G162" s="72">
        <v>11.82</v>
      </c>
      <c r="H162" s="74">
        <v>1E-4</v>
      </c>
      <c r="I162" s="75">
        <v>0.03</v>
      </c>
      <c r="J162" s="65"/>
      <c r="K162" s="65"/>
    </row>
    <row r="163" spans="1:11" ht="15.6" x14ac:dyDescent="0.3">
      <c r="A163" s="72" t="s">
        <v>15</v>
      </c>
      <c r="B163" s="73" t="s">
        <v>188</v>
      </c>
      <c r="C163" s="73" t="s">
        <v>196</v>
      </c>
      <c r="D163" s="73" t="s">
        <v>179</v>
      </c>
      <c r="E163" s="72">
        <v>180</v>
      </c>
      <c r="F163" s="72">
        <v>0.71</v>
      </c>
      <c r="G163" s="72">
        <v>13.49</v>
      </c>
      <c r="H163" s="74">
        <v>1E-4</v>
      </c>
      <c r="I163" s="75">
        <v>0.03</v>
      </c>
      <c r="J163" s="65"/>
      <c r="K163" s="65"/>
    </row>
    <row r="164" spans="1:11" ht="15.6" x14ac:dyDescent="0.3">
      <c r="A164" s="72" t="s">
        <v>16</v>
      </c>
      <c r="B164" s="73" t="s">
        <v>173</v>
      </c>
      <c r="C164" s="73" t="s">
        <v>174</v>
      </c>
      <c r="D164" s="73" t="s">
        <v>200</v>
      </c>
      <c r="E164" s="72">
        <v>202.5</v>
      </c>
      <c r="F164" s="72">
        <v>2.16</v>
      </c>
      <c r="G164" s="72">
        <v>5</v>
      </c>
      <c r="H164" s="74">
        <v>1E-4</v>
      </c>
      <c r="I164" s="75">
        <v>0.03</v>
      </c>
      <c r="J164" s="65"/>
      <c r="K164" s="65"/>
    </row>
    <row r="165" spans="1:11" ht="15.6" x14ac:dyDescent="0.3">
      <c r="A165" s="72" t="s">
        <v>18</v>
      </c>
      <c r="B165" s="73" t="s">
        <v>185</v>
      </c>
      <c r="C165" s="73" t="s">
        <v>183</v>
      </c>
      <c r="D165" s="73" t="s">
        <v>181</v>
      </c>
      <c r="E165" s="72">
        <v>247.5</v>
      </c>
      <c r="F165" s="72">
        <v>3.18</v>
      </c>
      <c r="G165" s="72">
        <v>17.32</v>
      </c>
      <c r="H165" s="74">
        <v>1E-4</v>
      </c>
      <c r="I165" s="75">
        <v>0.03</v>
      </c>
      <c r="J165" s="65"/>
      <c r="K165" s="65"/>
    </row>
    <row r="166" spans="1:11" ht="15.6" x14ac:dyDescent="0.3">
      <c r="A166" s="72" t="s">
        <v>16</v>
      </c>
      <c r="B166" s="73" t="s">
        <v>173</v>
      </c>
      <c r="C166" s="73" t="s">
        <v>191</v>
      </c>
      <c r="D166" s="73" t="s">
        <v>194</v>
      </c>
      <c r="E166" s="72">
        <v>202.5</v>
      </c>
      <c r="F166" s="72">
        <v>3.72</v>
      </c>
      <c r="G166" s="72">
        <v>21.07</v>
      </c>
      <c r="H166" s="74">
        <v>1E-4</v>
      </c>
      <c r="I166" s="75">
        <v>0.03</v>
      </c>
      <c r="J166" s="65"/>
      <c r="K166" s="65"/>
    </row>
    <row r="167" spans="1:11" ht="15.6" x14ac:dyDescent="0.3">
      <c r="A167" s="72" t="s">
        <v>74</v>
      </c>
      <c r="B167" s="73" t="s">
        <v>193</v>
      </c>
      <c r="C167" s="73" t="s">
        <v>184</v>
      </c>
      <c r="D167" s="73" t="s">
        <v>194</v>
      </c>
      <c r="E167" s="72">
        <v>315</v>
      </c>
      <c r="F167" s="72">
        <v>1.45</v>
      </c>
      <c r="G167" s="72">
        <v>21.21</v>
      </c>
      <c r="H167" s="74">
        <v>1E-4</v>
      </c>
      <c r="I167" s="75">
        <v>0.03</v>
      </c>
      <c r="J167" s="65"/>
      <c r="K167" s="65"/>
    </row>
    <row r="168" spans="1:11" ht="15.6" x14ac:dyDescent="0.3">
      <c r="A168" s="72" t="s">
        <v>16</v>
      </c>
      <c r="B168" s="73" t="s">
        <v>173</v>
      </c>
      <c r="C168" s="73" t="s">
        <v>180</v>
      </c>
      <c r="D168" s="73" t="s">
        <v>189</v>
      </c>
      <c r="E168" s="72">
        <v>202.5</v>
      </c>
      <c r="F168" s="72">
        <v>2.79</v>
      </c>
      <c r="G168" s="72">
        <v>9.0299999999999994</v>
      </c>
      <c r="H168" s="74">
        <v>1E-4</v>
      </c>
      <c r="I168" s="75">
        <v>0.03</v>
      </c>
      <c r="J168" s="65"/>
      <c r="K168" s="65"/>
    </row>
    <row r="169" spans="1:11" ht="15.6" x14ac:dyDescent="0.3">
      <c r="A169" s="72" t="s">
        <v>17</v>
      </c>
      <c r="B169" s="73" t="s">
        <v>177</v>
      </c>
      <c r="C169" s="73" t="s">
        <v>184</v>
      </c>
      <c r="D169" s="73" t="s">
        <v>194</v>
      </c>
      <c r="E169" s="72">
        <v>225</v>
      </c>
      <c r="F169" s="72">
        <v>1.36</v>
      </c>
      <c r="G169" s="72">
        <v>21.22</v>
      </c>
      <c r="H169" s="74">
        <v>1E-4</v>
      </c>
      <c r="I169" s="75">
        <v>0.03</v>
      </c>
      <c r="J169" s="65"/>
      <c r="K169" s="65"/>
    </row>
    <row r="170" spans="1:11" ht="15.6" x14ac:dyDescent="0.3">
      <c r="A170" s="72" t="s">
        <v>74</v>
      </c>
      <c r="B170" s="73" t="s">
        <v>193</v>
      </c>
      <c r="C170" s="73" t="s">
        <v>178</v>
      </c>
      <c r="D170" s="73" t="s">
        <v>199</v>
      </c>
      <c r="E170" s="72">
        <v>315</v>
      </c>
      <c r="F170" s="72">
        <v>1.84</v>
      </c>
      <c r="G170" s="72">
        <v>23.54</v>
      </c>
      <c r="H170" s="74">
        <v>1E-4</v>
      </c>
      <c r="I170" s="75">
        <v>0.03</v>
      </c>
      <c r="J170" s="65"/>
      <c r="K170" s="65"/>
    </row>
    <row r="171" spans="1:11" ht="15.6" x14ac:dyDescent="0.3">
      <c r="A171" s="72" t="s">
        <v>74</v>
      </c>
      <c r="B171" s="73" t="s">
        <v>193</v>
      </c>
      <c r="C171" s="73" t="s">
        <v>184</v>
      </c>
      <c r="D171" s="73" t="s">
        <v>175</v>
      </c>
      <c r="E171" s="72">
        <v>315</v>
      </c>
      <c r="F171" s="72">
        <v>1.42</v>
      </c>
      <c r="G171" s="72">
        <v>15.62</v>
      </c>
      <c r="H171" s="74">
        <v>1E-4</v>
      </c>
      <c r="I171" s="75">
        <v>0.02</v>
      </c>
      <c r="J171" s="65"/>
      <c r="K171" s="65"/>
    </row>
    <row r="172" spans="1:11" ht="15.6" x14ac:dyDescent="0.3">
      <c r="A172" s="72" t="s">
        <v>14</v>
      </c>
      <c r="B172" s="73" t="s">
        <v>198</v>
      </c>
      <c r="C172" s="73" t="s">
        <v>178</v>
      </c>
      <c r="D172" s="73" t="s">
        <v>181</v>
      </c>
      <c r="E172" s="72">
        <v>157.5</v>
      </c>
      <c r="F172" s="72">
        <v>1.61</v>
      </c>
      <c r="G172" s="72">
        <v>17.3</v>
      </c>
      <c r="H172" s="74">
        <v>1E-4</v>
      </c>
      <c r="I172" s="75">
        <v>0.02</v>
      </c>
      <c r="J172" s="65"/>
      <c r="K172" s="65"/>
    </row>
    <row r="173" spans="1:11" ht="15.6" x14ac:dyDescent="0.3">
      <c r="A173" s="72" t="s">
        <v>15</v>
      </c>
      <c r="B173" s="73" t="s">
        <v>188</v>
      </c>
      <c r="C173" s="73" t="s">
        <v>196</v>
      </c>
      <c r="D173" s="73" t="s">
        <v>192</v>
      </c>
      <c r="E173" s="72">
        <v>180</v>
      </c>
      <c r="F173" s="72">
        <v>0.73</v>
      </c>
      <c r="G173" s="72">
        <v>6.95</v>
      </c>
      <c r="H173" s="74">
        <v>1E-4</v>
      </c>
      <c r="I173" s="75">
        <v>0.02</v>
      </c>
      <c r="J173" s="65"/>
      <c r="K173" s="65"/>
    </row>
    <row r="174" spans="1:11" ht="15.6" x14ac:dyDescent="0.3">
      <c r="A174" s="72" t="s">
        <v>15</v>
      </c>
      <c r="B174" s="73" t="s">
        <v>188</v>
      </c>
      <c r="C174" s="73" t="s">
        <v>183</v>
      </c>
      <c r="D174" s="73" t="s">
        <v>192</v>
      </c>
      <c r="E174" s="72">
        <v>180</v>
      </c>
      <c r="F174" s="72">
        <v>3.14</v>
      </c>
      <c r="G174" s="72">
        <v>7.85</v>
      </c>
      <c r="H174" s="74">
        <v>1E-4</v>
      </c>
      <c r="I174" s="75">
        <v>0.02</v>
      </c>
      <c r="J174" s="65"/>
      <c r="K174" s="65"/>
    </row>
    <row r="175" spans="1:11" ht="15.6" x14ac:dyDescent="0.3">
      <c r="A175" s="72" t="s">
        <v>17</v>
      </c>
      <c r="B175" s="73" t="s">
        <v>177</v>
      </c>
      <c r="C175" s="73" t="s">
        <v>180</v>
      </c>
      <c r="D175" s="73" t="s">
        <v>199</v>
      </c>
      <c r="E175" s="72">
        <v>225</v>
      </c>
      <c r="F175" s="72">
        <v>2.71</v>
      </c>
      <c r="G175" s="72">
        <v>23.22</v>
      </c>
      <c r="H175" s="74">
        <v>1E-4</v>
      </c>
      <c r="I175" s="75">
        <v>0.02</v>
      </c>
      <c r="J175" s="65"/>
      <c r="K175" s="65"/>
    </row>
    <row r="176" spans="1:11" ht="15.6" x14ac:dyDescent="0.3">
      <c r="A176" s="72" t="s">
        <v>15</v>
      </c>
      <c r="B176" s="73" t="s">
        <v>188</v>
      </c>
      <c r="C176" s="73" t="s">
        <v>183</v>
      </c>
      <c r="D176" s="73" t="s">
        <v>181</v>
      </c>
      <c r="E176" s="72">
        <v>180</v>
      </c>
      <c r="F176" s="72">
        <v>3.19</v>
      </c>
      <c r="G176" s="72">
        <v>16.97</v>
      </c>
      <c r="H176" s="74">
        <v>1E-4</v>
      </c>
      <c r="I176" s="75">
        <v>0.02</v>
      </c>
      <c r="J176" s="65"/>
      <c r="K176" s="65"/>
    </row>
    <row r="177" spans="1:11" ht="15.6" x14ac:dyDescent="0.3">
      <c r="A177" s="72" t="s">
        <v>18</v>
      </c>
      <c r="B177" s="73" t="s">
        <v>185</v>
      </c>
      <c r="C177" s="73" t="s">
        <v>180</v>
      </c>
      <c r="D177" s="73" t="s">
        <v>187</v>
      </c>
      <c r="E177" s="72">
        <v>247.5</v>
      </c>
      <c r="F177" s="72">
        <v>2.75</v>
      </c>
      <c r="G177" s="72">
        <v>19.04</v>
      </c>
      <c r="H177" s="74">
        <v>1E-4</v>
      </c>
      <c r="I177" s="75">
        <v>0.02</v>
      </c>
      <c r="J177" s="65"/>
      <c r="K177" s="65"/>
    </row>
    <row r="178" spans="1:11" ht="15.6" x14ac:dyDescent="0.3">
      <c r="A178" s="72" t="s">
        <v>16</v>
      </c>
      <c r="B178" s="73" t="s">
        <v>173</v>
      </c>
      <c r="C178" s="73" t="s">
        <v>197</v>
      </c>
      <c r="D178" s="73" t="s">
        <v>175</v>
      </c>
      <c r="E178" s="72">
        <v>202.5</v>
      </c>
      <c r="F178" s="72">
        <v>4.71</v>
      </c>
      <c r="G178" s="72">
        <v>15.32</v>
      </c>
      <c r="H178" s="74">
        <v>1E-4</v>
      </c>
      <c r="I178" s="75">
        <v>0.02</v>
      </c>
      <c r="J178" s="65"/>
      <c r="K178" s="65"/>
    </row>
    <row r="179" spans="1:11" ht="15.6" x14ac:dyDescent="0.3">
      <c r="A179" s="68" t="s">
        <v>20</v>
      </c>
      <c r="B179" s="69" t="s">
        <v>186</v>
      </c>
      <c r="C179" s="69" t="s">
        <v>180</v>
      </c>
      <c r="D179" s="69" t="s">
        <v>181</v>
      </c>
      <c r="E179" s="68">
        <v>292.5</v>
      </c>
      <c r="F179" s="68">
        <v>2.68</v>
      </c>
      <c r="G179" s="68">
        <v>17.45</v>
      </c>
      <c r="H179" s="70">
        <v>1E-4</v>
      </c>
      <c r="I179" s="71">
        <v>0.02</v>
      </c>
      <c r="J179" s="79" t="s">
        <v>201</v>
      </c>
      <c r="K179" s="79"/>
    </row>
    <row r="180" spans="1:11" ht="15.6" x14ac:dyDescent="0.3">
      <c r="A180" s="72" t="s">
        <v>16</v>
      </c>
      <c r="B180" s="73" t="s">
        <v>173</v>
      </c>
      <c r="C180" s="73" t="s">
        <v>184</v>
      </c>
      <c r="D180" s="73" t="s">
        <v>187</v>
      </c>
      <c r="E180" s="72">
        <v>202.5</v>
      </c>
      <c r="F180" s="72">
        <v>1.41</v>
      </c>
      <c r="G180" s="72">
        <v>19.12</v>
      </c>
      <c r="H180" s="74">
        <v>1E-4</v>
      </c>
      <c r="I180" s="75">
        <v>0.02</v>
      </c>
      <c r="J180" s="65"/>
      <c r="K180" s="65"/>
    </row>
    <row r="181" spans="1:11" ht="15.6" x14ac:dyDescent="0.3">
      <c r="A181" s="72" t="s">
        <v>17</v>
      </c>
      <c r="B181" s="73" t="s">
        <v>177</v>
      </c>
      <c r="C181" s="73" t="s">
        <v>195</v>
      </c>
      <c r="D181" s="73" t="s">
        <v>181</v>
      </c>
      <c r="E181" s="72">
        <v>225</v>
      </c>
      <c r="F181" s="72">
        <v>4.21</v>
      </c>
      <c r="G181" s="72">
        <v>17.48</v>
      </c>
      <c r="H181" s="74">
        <v>1E-4</v>
      </c>
      <c r="I181" s="75">
        <v>0.02</v>
      </c>
      <c r="J181" s="65"/>
      <c r="K181" s="65"/>
    </row>
    <row r="182" spans="1:11" ht="15.6" x14ac:dyDescent="0.3">
      <c r="A182" s="72" t="s">
        <v>15</v>
      </c>
      <c r="B182" s="73" t="s">
        <v>188</v>
      </c>
      <c r="C182" s="73" t="s">
        <v>184</v>
      </c>
      <c r="D182" s="73" t="s">
        <v>192</v>
      </c>
      <c r="E182" s="72">
        <v>180</v>
      </c>
      <c r="F182" s="72">
        <v>1.37</v>
      </c>
      <c r="G182" s="72">
        <v>7.3</v>
      </c>
      <c r="H182" s="74">
        <v>1E-4</v>
      </c>
      <c r="I182" s="75">
        <v>0.02</v>
      </c>
      <c r="J182" s="65"/>
      <c r="K182" s="65"/>
    </row>
    <row r="183" spans="1:11" ht="15.6" x14ac:dyDescent="0.3">
      <c r="A183" s="72" t="s">
        <v>16</v>
      </c>
      <c r="B183" s="73" t="s">
        <v>173</v>
      </c>
      <c r="C183" s="73" t="s">
        <v>178</v>
      </c>
      <c r="D183" s="73" t="s">
        <v>192</v>
      </c>
      <c r="E183" s="72">
        <v>202.5</v>
      </c>
      <c r="F183" s="72">
        <v>1.77</v>
      </c>
      <c r="G183" s="72">
        <v>6.61</v>
      </c>
      <c r="H183" s="74">
        <v>1E-4</v>
      </c>
      <c r="I183" s="75">
        <v>0.02</v>
      </c>
      <c r="J183" s="65"/>
      <c r="K183" s="65"/>
    </row>
    <row r="184" spans="1:11" ht="15.6" x14ac:dyDescent="0.3">
      <c r="A184" s="72" t="s">
        <v>14</v>
      </c>
      <c r="B184" s="73" t="s">
        <v>198</v>
      </c>
      <c r="C184" s="73" t="s">
        <v>184</v>
      </c>
      <c r="D184" s="73" t="s">
        <v>179</v>
      </c>
      <c r="E184" s="72">
        <v>157.5</v>
      </c>
      <c r="F184" s="72">
        <v>1.1399999999999999</v>
      </c>
      <c r="G184" s="72">
        <v>13.01</v>
      </c>
      <c r="H184" s="74">
        <v>0</v>
      </c>
      <c r="I184" s="75">
        <v>0.02</v>
      </c>
      <c r="J184" s="65"/>
      <c r="K184" s="65"/>
    </row>
    <row r="185" spans="1:11" ht="15.6" x14ac:dyDescent="0.3">
      <c r="A185" s="72" t="s">
        <v>17</v>
      </c>
      <c r="B185" s="73" t="s">
        <v>177</v>
      </c>
      <c r="C185" s="73" t="s">
        <v>180</v>
      </c>
      <c r="D185" s="73" t="s">
        <v>182</v>
      </c>
      <c r="E185" s="72">
        <v>225</v>
      </c>
      <c r="F185" s="72">
        <v>2.66</v>
      </c>
      <c r="G185" s="72">
        <v>11.9</v>
      </c>
      <c r="H185" s="74">
        <v>0</v>
      </c>
      <c r="I185" s="75">
        <v>0.02</v>
      </c>
      <c r="J185" s="65"/>
      <c r="K185" s="65"/>
    </row>
    <row r="186" spans="1:11" ht="15.6" x14ac:dyDescent="0.3">
      <c r="A186" s="72" t="s">
        <v>15</v>
      </c>
      <c r="B186" s="73" t="s">
        <v>188</v>
      </c>
      <c r="C186" s="73" t="s">
        <v>195</v>
      </c>
      <c r="D186" s="73" t="s">
        <v>182</v>
      </c>
      <c r="E186" s="72">
        <v>180</v>
      </c>
      <c r="F186" s="72">
        <v>4.2699999999999996</v>
      </c>
      <c r="G186" s="72">
        <v>10.79</v>
      </c>
      <c r="H186" s="74">
        <v>0</v>
      </c>
      <c r="I186" s="75">
        <v>0.02</v>
      </c>
      <c r="J186" s="65"/>
      <c r="K186" s="65"/>
    </row>
    <row r="187" spans="1:11" ht="15.6" x14ac:dyDescent="0.3">
      <c r="A187" s="72" t="s">
        <v>17</v>
      </c>
      <c r="B187" s="73" t="s">
        <v>177</v>
      </c>
      <c r="C187" s="73" t="s">
        <v>184</v>
      </c>
      <c r="D187" s="73" t="s">
        <v>189</v>
      </c>
      <c r="E187" s="72">
        <v>225</v>
      </c>
      <c r="F187" s="72">
        <v>1.33</v>
      </c>
      <c r="G187" s="72">
        <v>9.59</v>
      </c>
      <c r="H187" s="74">
        <v>0</v>
      </c>
      <c r="I187" s="75">
        <v>0.02</v>
      </c>
      <c r="J187" s="65"/>
      <c r="K187" s="65"/>
    </row>
    <row r="188" spans="1:11" ht="15.6" x14ac:dyDescent="0.3">
      <c r="A188" s="72" t="s">
        <v>15</v>
      </c>
      <c r="B188" s="73" t="s">
        <v>188</v>
      </c>
      <c r="C188" s="73" t="s">
        <v>197</v>
      </c>
      <c r="D188" s="73" t="s">
        <v>182</v>
      </c>
      <c r="E188" s="72">
        <v>180</v>
      </c>
      <c r="F188" s="72">
        <v>4.71</v>
      </c>
      <c r="G188" s="72">
        <v>10.82</v>
      </c>
      <c r="H188" s="74">
        <v>0</v>
      </c>
      <c r="I188" s="75">
        <v>0.02</v>
      </c>
      <c r="J188" s="65"/>
      <c r="K188" s="65"/>
    </row>
    <row r="189" spans="1:11" ht="15.6" x14ac:dyDescent="0.3">
      <c r="A189" s="72" t="s">
        <v>16</v>
      </c>
      <c r="B189" s="73" t="s">
        <v>173</v>
      </c>
      <c r="C189" s="73" t="s">
        <v>174</v>
      </c>
      <c r="D189" s="73" t="s">
        <v>199</v>
      </c>
      <c r="E189" s="72">
        <v>202.5</v>
      </c>
      <c r="F189" s="72">
        <v>2.19</v>
      </c>
      <c r="G189" s="72">
        <v>22.97</v>
      </c>
      <c r="H189" s="74">
        <v>0</v>
      </c>
      <c r="I189" s="75">
        <v>0.02</v>
      </c>
      <c r="J189" s="65"/>
      <c r="K189" s="65"/>
    </row>
    <row r="190" spans="1:11" ht="15.6" x14ac:dyDescent="0.3">
      <c r="A190" s="72" t="s">
        <v>18</v>
      </c>
      <c r="B190" s="73" t="s">
        <v>185</v>
      </c>
      <c r="C190" s="73" t="s">
        <v>184</v>
      </c>
      <c r="D190" s="73" t="s">
        <v>187</v>
      </c>
      <c r="E190" s="72">
        <v>247.5</v>
      </c>
      <c r="F190" s="72">
        <v>1.37</v>
      </c>
      <c r="G190" s="72">
        <v>19.16</v>
      </c>
      <c r="H190" s="74">
        <v>0</v>
      </c>
      <c r="I190" s="75">
        <v>0.02</v>
      </c>
      <c r="J190" s="65"/>
      <c r="K190" s="65"/>
    </row>
    <row r="191" spans="1:11" ht="15.6" x14ac:dyDescent="0.3">
      <c r="A191" s="72" t="s">
        <v>16</v>
      </c>
      <c r="B191" s="73" t="s">
        <v>173</v>
      </c>
      <c r="C191" s="73" t="s">
        <v>183</v>
      </c>
      <c r="D191" s="73" t="s">
        <v>189</v>
      </c>
      <c r="E191" s="72">
        <v>202.5</v>
      </c>
      <c r="F191" s="72">
        <v>3.19</v>
      </c>
      <c r="G191" s="72">
        <v>9.34</v>
      </c>
      <c r="H191" s="74">
        <v>0</v>
      </c>
      <c r="I191" s="75">
        <v>0.02</v>
      </c>
      <c r="J191" s="65"/>
      <c r="K191" s="65"/>
    </row>
    <row r="192" spans="1:11" ht="15.6" x14ac:dyDescent="0.3">
      <c r="A192" s="72" t="s">
        <v>17</v>
      </c>
      <c r="B192" s="73" t="s">
        <v>177</v>
      </c>
      <c r="C192" s="73" t="s">
        <v>178</v>
      </c>
      <c r="D192" s="73" t="s">
        <v>200</v>
      </c>
      <c r="E192" s="72">
        <v>225</v>
      </c>
      <c r="F192" s="72">
        <v>1.79</v>
      </c>
      <c r="G192" s="72">
        <v>4.37</v>
      </c>
      <c r="H192" s="74">
        <v>0</v>
      </c>
      <c r="I192" s="75">
        <v>0.02</v>
      </c>
      <c r="J192" s="65"/>
      <c r="K192" s="65"/>
    </row>
    <row r="193" spans="1:11" ht="15.6" x14ac:dyDescent="0.3">
      <c r="A193" s="72" t="s">
        <v>20</v>
      </c>
      <c r="B193" s="73" t="s">
        <v>186</v>
      </c>
      <c r="C193" s="73" t="s">
        <v>184</v>
      </c>
      <c r="D193" s="73" t="s">
        <v>199</v>
      </c>
      <c r="E193" s="72">
        <v>292.5</v>
      </c>
      <c r="F193" s="72">
        <v>1.35</v>
      </c>
      <c r="G193" s="72">
        <v>23.52</v>
      </c>
      <c r="H193" s="74">
        <v>0</v>
      </c>
      <c r="I193" s="75">
        <v>0.02</v>
      </c>
      <c r="J193" s="65"/>
      <c r="K193" s="65"/>
    </row>
    <row r="194" spans="1:11" ht="15.6" x14ac:dyDescent="0.3">
      <c r="A194" s="72" t="s">
        <v>14</v>
      </c>
      <c r="B194" s="73" t="s">
        <v>198</v>
      </c>
      <c r="C194" s="73" t="s">
        <v>196</v>
      </c>
      <c r="D194" s="73" t="s">
        <v>187</v>
      </c>
      <c r="E194" s="72">
        <v>157.5</v>
      </c>
      <c r="F194" s="72">
        <v>0.75</v>
      </c>
      <c r="G194" s="72">
        <v>19.23</v>
      </c>
      <c r="H194" s="74">
        <v>0</v>
      </c>
      <c r="I194" s="75">
        <v>0.01</v>
      </c>
      <c r="J194" s="65"/>
      <c r="K194" s="65"/>
    </row>
    <row r="195" spans="1:11" ht="15.6" x14ac:dyDescent="0.3">
      <c r="A195" s="72" t="s">
        <v>15</v>
      </c>
      <c r="B195" s="73" t="s">
        <v>188</v>
      </c>
      <c r="C195" s="73" t="s">
        <v>174</v>
      </c>
      <c r="D195" s="73" t="s">
        <v>194</v>
      </c>
      <c r="E195" s="72">
        <v>180</v>
      </c>
      <c r="F195" s="72">
        <v>2.2799999999999998</v>
      </c>
      <c r="G195" s="72">
        <v>21.09</v>
      </c>
      <c r="H195" s="74">
        <v>0</v>
      </c>
      <c r="I195" s="75">
        <v>0.01</v>
      </c>
      <c r="J195" s="65"/>
      <c r="K195" s="65"/>
    </row>
    <row r="196" spans="1:11" ht="15.6" x14ac:dyDescent="0.3">
      <c r="A196" s="72" t="s">
        <v>16</v>
      </c>
      <c r="B196" s="73" t="s">
        <v>173</v>
      </c>
      <c r="C196" s="73" t="s">
        <v>178</v>
      </c>
      <c r="D196" s="73" t="s">
        <v>199</v>
      </c>
      <c r="E196" s="72">
        <v>202.5</v>
      </c>
      <c r="F196" s="72">
        <v>1.85</v>
      </c>
      <c r="G196" s="72">
        <v>23.41</v>
      </c>
      <c r="H196" s="74">
        <v>0</v>
      </c>
      <c r="I196" s="75">
        <v>0.01</v>
      </c>
      <c r="J196" s="65"/>
      <c r="K196" s="65"/>
    </row>
    <row r="197" spans="1:11" ht="15.6" x14ac:dyDescent="0.3">
      <c r="A197" s="72" t="s">
        <v>16</v>
      </c>
      <c r="B197" s="73" t="s">
        <v>173</v>
      </c>
      <c r="C197" s="73" t="s">
        <v>180</v>
      </c>
      <c r="D197" s="73" t="s">
        <v>199</v>
      </c>
      <c r="E197" s="72">
        <v>202.5</v>
      </c>
      <c r="F197" s="72">
        <v>2.8</v>
      </c>
      <c r="G197" s="72">
        <v>22.96</v>
      </c>
      <c r="H197" s="74">
        <v>0</v>
      </c>
      <c r="I197" s="75">
        <v>0.01</v>
      </c>
      <c r="J197" s="65"/>
      <c r="K197" s="65"/>
    </row>
    <row r="198" spans="1:11" ht="15.6" x14ac:dyDescent="0.3">
      <c r="A198" s="72" t="s">
        <v>16</v>
      </c>
      <c r="B198" s="73" t="s">
        <v>173</v>
      </c>
      <c r="C198" s="73" t="s">
        <v>196</v>
      </c>
      <c r="D198" s="73" t="s">
        <v>192</v>
      </c>
      <c r="E198" s="72">
        <v>202.5</v>
      </c>
      <c r="F198" s="72">
        <v>0.56999999999999995</v>
      </c>
      <c r="G198" s="72">
        <v>6.17</v>
      </c>
      <c r="H198" s="74">
        <v>0</v>
      </c>
      <c r="I198" s="75">
        <v>0.01</v>
      </c>
      <c r="J198" s="65"/>
      <c r="K198" s="65"/>
    </row>
    <row r="199" spans="1:11" ht="15.6" x14ac:dyDescent="0.3">
      <c r="A199" s="72" t="s">
        <v>14</v>
      </c>
      <c r="B199" s="73" t="s">
        <v>198</v>
      </c>
      <c r="C199" s="73" t="s">
        <v>178</v>
      </c>
      <c r="D199" s="73" t="s">
        <v>175</v>
      </c>
      <c r="E199" s="72">
        <v>157.5</v>
      </c>
      <c r="F199" s="72">
        <v>1.9</v>
      </c>
      <c r="G199" s="72">
        <v>15.84</v>
      </c>
      <c r="H199" s="74">
        <v>0</v>
      </c>
      <c r="I199" s="75">
        <v>0.01</v>
      </c>
      <c r="J199" s="65"/>
      <c r="K199" s="65"/>
    </row>
    <row r="200" spans="1:11" ht="15.6" x14ac:dyDescent="0.3">
      <c r="A200" s="72" t="s">
        <v>16</v>
      </c>
      <c r="B200" s="73" t="s">
        <v>173</v>
      </c>
      <c r="C200" s="73" t="s">
        <v>197</v>
      </c>
      <c r="D200" s="73" t="s">
        <v>187</v>
      </c>
      <c r="E200" s="72">
        <v>202.5</v>
      </c>
      <c r="F200" s="72">
        <v>4.6100000000000003</v>
      </c>
      <c r="G200" s="72">
        <v>18.28</v>
      </c>
      <c r="H200" s="74">
        <v>0</v>
      </c>
      <c r="I200" s="75">
        <v>0.01</v>
      </c>
      <c r="J200" s="65"/>
      <c r="K200" s="65"/>
    </row>
    <row r="201" spans="1:11" ht="15.6" x14ac:dyDescent="0.3">
      <c r="A201" s="72" t="s">
        <v>17</v>
      </c>
      <c r="B201" s="73" t="s">
        <v>177</v>
      </c>
      <c r="C201" s="73" t="s">
        <v>191</v>
      </c>
      <c r="D201" s="73" t="s">
        <v>194</v>
      </c>
      <c r="E201" s="72">
        <v>225</v>
      </c>
      <c r="F201" s="72">
        <v>3.73</v>
      </c>
      <c r="G201" s="72">
        <v>20.91</v>
      </c>
      <c r="H201" s="74">
        <v>0</v>
      </c>
      <c r="I201" s="75">
        <v>0.01</v>
      </c>
      <c r="J201" s="65"/>
      <c r="K201" s="65"/>
    </row>
    <row r="202" spans="1:11" ht="15.6" x14ac:dyDescent="0.3">
      <c r="A202" s="72" t="s">
        <v>18</v>
      </c>
      <c r="B202" s="73" t="s">
        <v>185</v>
      </c>
      <c r="C202" s="73" t="s">
        <v>183</v>
      </c>
      <c r="D202" s="73" t="s">
        <v>187</v>
      </c>
      <c r="E202" s="72">
        <v>247.5</v>
      </c>
      <c r="F202" s="72">
        <v>3.2</v>
      </c>
      <c r="G202" s="72">
        <v>19.11</v>
      </c>
      <c r="H202" s="74">
        <v>0</v>
      </c>
      <c r="I202" s="75">
        <v>0.01</v>
      </c>
      <c r="J202" s="65"/>
      <c r="K202" s="65"/>
    </row>
    <row r="203" spans="1:11" ht="15.6" x14ac:dyDescent="0.3">
      <c r="A203" s="72" t="s">
        <v>16</v>
      </c>
      <c r="B203" s="73" t="s">
        <v>173</v>
      </c>
      <c r="C203" s="73" t="s">
        <v>183</v>
      </c>
      <c r="D203" s="73" t="s">
        <v>199</v>
      </c>
      <c r="E203" s="72">
        <v>202.5</v>
      </c>
      <c r="F203" s="72">
        <v>3.18</v>
      </c>
      <c r="G203" s="72">
        <v>23.22</v>
      </c>
      <c r="H203" s="74">
        <v>0</v>
      </c>
      <c r="I203" s="75">
        <v>0.01</v>
      </c>
      <c r="J203" s="65"/>
      <c r="K203" s="65"/>
    </row>
    <row r="204" spans="1:11" ht="15.6" x14ac:dyDescent="0.3">
      <c r="A204" s="72" t="s">
        <v>19</v>
      </c>
      <c r="B204" s="73" t="s">
        <v>190</v>
      </c>
      <c r="C204" s="73" t="s">
        <v>180</v>
      </c>
      <c r="D204" s="73" t="s">
        <v>187</v>
      </c>
      <c r="E204" s="72">
        <v>270</v>
      </c>
      <c r="F204" s="72">
        <v>2.8</v>
      </c>
      <c r="G204" s="72">
        <v>19.07</v>
      </c>
      <c r="H204" s="74">
        <v>0</v>
      </c>
      <c r="I204" s="75">
        <v>0.01</v>
      </c>
      <c r="J204" s="65"/>
      <c r="K204" s="65"/>
    </row>
    <row r="205" spans="1:11" ht="15.6" x14ac:dyDescent="0.3">
      <c r="A205" s="72" t="s">
        <v>20</v>
      </c>
      <c r="B205" s="73" t="s">
        <v>186</v>
      </c>
      <c r="C205" s="73" t="s">
        <v>178</v>
      </c>
      <c r="D205" s="73" t="s">
        <v>182</v>
      </c>
      <c r="E205" s="72">
        <v>292.5</v>
      </c>
      <c r="F205" s="72">
        <v>1.72</v>
      </c>
      <c r="G205" s="72">
        <v>11.14</v>
      </c>
      <c r="H205" s="74">
        <v>0</v>
      </c>
      <c r="I205" s="75">
        <v>0.01</v>
      </c>
      <c r="J205" s="65"/>
      <c r="K205" s="65"/>
    </row>
    <row r="206" spans="1:11" ht="15.6" x14ac:dyDescent="0.3">
      <c r="A206" s="72" t="s">
        <v>15</v>
      </c>
      <c r="B206" s="73" t="s">
        <v>188</v>
      </c>
      <c r="C206" s="73" t="s">
        <v>174</v>
      </c>
      <c r="D206" s="73" t="s">
        <v>199</v>
      </c>
      <c r="E206" s="72">
        <v>180</v>
      </c>
      <c r="F206" s="72">
        <v>2.2200000000000002</v>
      </c>
      <c r="G206" s="72">
        <v>23.43</v>
      </c>
      <c r="H206" s="74">
        <v>0</v>
      </c>
      <c r="I206" s="75">
        <v>0.01</v>
      </c>
      <c r="J206" s="65"/>
      <c r="K206" s="65"/>
    </row>
    <row r="207" spans="1:11" ht="15.6" x14ac:dyDescent="0.3">
      <c r="A207" s="72" t="s">
        <v>15</v>
      </c>
      <c r="B207" s="73" t="s">
        <v>188</v>
      </c>
      <c r="C207" s="73" t="s">
        <v>180</v>
      </c>
      <c r="D207" s="73" t="s">
        <v>194</v>
      </c>
      <c r="E207" s="72">
        <v>180</v>
      </c>
      <c r="F207" s="72">
        <v>2.79</v>
      </c>
      <c r="G207" s="72">
        <v>21.19</v>
      </c>
      <c r="H207" s="74">
        <v>0</v>
      </c>
      <c r="I207" s="75">
        <v>0.01</v>
      </c>
      <c r="J207" s="65"/>
      <c r="K207" s="65"/>
    </row>
    <row r="208" spans="1:11" ht="15.6" x14ac:dyDescent="0.3">
      <c r="A208" s="72" t="s">
        <v>15</v>
      </c>
      <c r="B208" s="73" t="s">
        <v>188</v>
      </c>
      <c r="C208" s="73" t="s">
        <v>197</v>
      </c>
      <c r="D208" s="73" t="s">
        <v>189</v>
      </c>
      <c r="E208" s="72">
        <v>180</v>
      </c>
      <c r="F208" s="72">
        <v>4.6100000000000003</v>
      </c>
      <c r="G208" s="72">
        <v>9.9</v>
      </c>
      <c r="H208" s="74">
        <v>0</v>
      </c>
      <c r="I208" s="75">
        <v>0.01</v>
      </c>
      <c r="J208" s="65"/>
      <c r="K208" s="65"/>
    </row>
    <row r="209" spans="1:11" ht="15.6" x14ac:dyDescent="0.3">
      <c r="A209" s="72" t="s">
        <v>16</v>
      </c>
      <c r="B209" s="73" t="s">
        <v>173</v>
      </c>
      <c r="C209" s="73" t="s">
        <v>174</v>
      </c>
      <c r="D209" s="73" t="s">
        <v>192</v>
      </c>
      <c r="E209" s="72">
        <v>202.5</v>
      </c>
      <c r="F209" s="72">
        <v>2.08</v>
      </c>
      <c r="G209" s="72">
        <v>6.52</v>
      </c>
      <c r="H209" s="74">
        <v>0</v>
      </c>
      <c r="I209" s="75">
        <v>0.01</v>
      </c>
      <c r="J209" s="65"/>
      <c r="K209" s="65"/>
    </row>
    <row r="210" spans="1:11" ht="15.6" x14ac:dyDescent="0.3">
      <c r="A210" s="72" t="s">
        <v>19</v>
      </c>
      <c r="B210" s="73" t="s">
        <v>190</v>
      </c>
      <c r="C210" s="73" t="s">
        <v>184</v>
      </c>
      <c r="D210" s="73" t="s">
        <v>187</v>
      </c>
      <c r="E210" s="72">
        <v>270</v>
      </c>
      <c r="F210" s="72">
        <v>1.42</v>
      </c>
      <c r="G210" s="72">
        <v>19.2</v>
      </c>
      <c r="H210" s="74">
        <v>0</v>
      </c>
      <c r="I210" s="75">
        <v>0.01</v>
      </c>
      <c r="J210" s="65"/>
      <c r="K210" s="65"/>
    </row>
    <row r="211" spans="1:11" ht="15.6" x14ac:dyDescent="0.3">
      <c r="A211" s="72" t="s">
        <v>15</v>
      </c>
      <c r="B211" s="73" t="s">
        <v>188</v>
      </c>
      <c r="C211" s="73" t="s">
        <v>191</v>
      </c>
      <c r="D211" s="73" t="s">
        <v>179</v>
      </c>
      <c r="E211" s="72">
        <v>180</v>
      </c>
      <c r="F211" s="72">
        <v>3.6</v>
      </c>
      <c r="G211" s="72">
        <v>13.06</v>
      </c>
      <c r="H211" s="74">
        <v>0</v>
      </c>
      <c r="I211" s="75">
        <v>0.01</v>
      </c>
      <c r="J211" s="65"/>
      <c r="K211" s="65"/>
    </row>
    <row r="212" spans="1:11" ht="15.6" x14ac:dyDescent="0.3">
      <c r="A212" s="72" t="s">
        <v>17</v>
      </c>
      <c r="B212" s="73" t="s">
        <v>177</v>
      </c>
      <c r="C212" s="73" t="s">
        <v>196</v>
      </c>
      <c r="D212" s="73" t="s">
        <v>182</v>
      </c>
      <c r="E212" s="72">
        <v>225</v>
      </c>
      <c r="F212" s="72">
        <v>0.94</v>
      </c>
      <c r="G212" s="72">
        <v>10.98</v>
      </c>
      <c r="H212" s="74">
        <v>0</v>
      </c>
      <c r="I212" s="75">
        <v>0.01</v>
      </c>
      <c r="J212" s="65"/>
      <c r="K212" s="65"/>
    </row>
    <row r="213" spans="1:11" ht="15.6" x14ac:dyDescent="0.3">
      <c r="A213" s="72" t="s">
        <v>19</v>
      </c>
      <c r="B213" s="73" t="s">
        <v>190</v>
      </c>
      <c r="C213" s="73" t="s">
        <v>174</v>
      </c>
      <c r="D213" s="73" t="s">
        <v>194</v>
      </c>
      <c r="E213" s="72">
        <v>270</v>
      </c>
      <c r="F213" s="72">
        <v>2.19</v>
      </c>
      <c r="G213" s="72">
        <v>21.08</v>
      </c>
      <c r="H213" s="74">
        <v>0</v>
      </c>
      <c r="I213" s="75">
        <v>0.01</v>
      </c>
      <c r="J213" s="65"/>
      <c r="K213" s="65"/>
    </row>
    <row r="214" spans="1:11" ht="15.6" x14ac:dyDescent="0.3">
      <c r="A214" s="72" t="s">
        <v>20</v>
      </c>
      <c r="B214" s="73" t="s">
        <v>186</v>
      </c>
      <c r="C214" s="73" t="s">
        <v>174</v>
      </c>
      <c r="D214" s="73" t="s">
        <v>199</v>
      </c>
      <c r="E214" s="72">
        <v>292.5</v>
      </c>
      <c r="F214" s="72">
        <v>2.0699999999999998</v>
      </c>
      <c r="G214" s="72">
        <v>23.32</v>
      </c>
      <c r="H214" s="74">
        <v>0</v>
      </c>
      <c r="I214" s="75">
        <v>0.01</v>
      </c>
      <c r="J214" s="65"/>
      <c r="K214" s="65"/>
    </row>
    <row r="215" spans="1:11" ht="15.6" x14ac:dyDescent="0.3">
      <c r="A215" s="72" t="s">
        <v>74</v>
      </c>
      <c r="B215" s="73" t="s">
        <v>193</v>
      </c>
      <c r="C215" s="73" t="s">
        <v>180</v>
      </c>
      <c r="D215" s="73" t="s">
        <v>187</v>
      </c>
      <c r="E215" s="72">
        <v>315</v>
      </c>
      <c r="F215" s="72">
        <v>2.5499999999999998</v>
      </c>
      <c r="G215" s="72">
        <v>19.440000000000001</v>
      </c>
      <c r="H215" s="74">
        <v>0</v>
      </c>
      <c r="I215" s="75">
        <v>0.01</v>
      </c>
      <c r="J215" s="65"/>
      <c r="K215" s="65"/>
    </row>
    <row r="216" spans="1:11" ht="15.6" x14ac:dyDescent="0.3">
      <c r="A216" s="72" t="s">
        <v>14</v>
      </c>
      <c r="B216" s="73" t="s">
        <v>198</v>
      </c>
      <c r="C216" s="73" t="s">
        <v>196</v>
      </c>
      <c r="D216" s="73" t="s">
        <v>202</v>
      </c>
      <c r="E216" s="72">
        <v>157.5</v>
      </c>
      <c r="F216" s="72">
        <v>0.64</v>
      </c>
      <c r="G216" s="72">
        <v>3.68</v>
      </c>
      <c r="H216" s="74">
        <v>0</v>
      </c>
      <c r="I216" s="75">
        <v>0.01</v>
      </c>
      <c r="J216" s="65"/>
      <c r="K216" s="65"/>
    </row>
    <row r="217" spans="1:11" ht="15.6" x14ac:dyDescent="0.3">
      <c r="A217" s="72" t="s">
        <v>14</v>
      </c>
      <c r="B217" s="73" t="s">
        <v>198</v>
      </c>
      <c r="C217" s="73" t="s">
        <v>184</v>
      </c>
      <c r="D217" s="73" t="s">
        <v>175</v>
      </c>
      <c r="E217" s="72">
        <v>157.5</v>
      </c>
      <c r="F217" s="72">
        <v>1.22</v>
      </c>
      <c r="G217" s="72">
        <v>14.19</v>
      </c>
      <c r="H217" s="74">
        <v>0</v>
      </c>
      <c r="I217" s="75">
        <v>0.01</v>
      </c>
      <c r="J217" s="65"/>
      <c r="K217" s="65"/>
    </row>
    <row r="218" spans="1:11" ht="15.6" x14ac:dyDescent="0.3">
      <c r="A218" s="72" t="s">
        <v>14</v>
      </c>
      <c r="B218" s="73" t="s">
        <v>198</v>
      </c>
      <c r="C218" s="73" t="s">
        <v>184</v>
      </c>
      <c r="D218" s="73" t="s">
        <v>187</v>
      </c>
      <c r="E218" s="72">
        <v>157.5</v>
      </c>
      <c r="F218" s="72">
        <v>1.18</v>
      </c>
      <c r="G218" s="72">
        <v>19.14</v>
      </c>
      <c r="H218" s="74">
        <v>0</v>
      </c>
      <c r="I218" s="75">
        <v>0.01</v>
      </c>
      <c r="J218" s="65"/>
      <c r="K218" s="65"/>
    </row>
    <row r="219" spans="1:11" ht="15.6" x14ac:dyDescent="0.3">
      <c r="A219" s="72" t="s">
        <v>15</v>
      </c>
      <c r="B219" s="73" t="s">
        <v>188</v>
      </c>
      <c r="C219" s="73" t="s">
        <v>184</v>
      </c>
      <c r="D219" s="73" t="s">
        <v>187</v>
      </c>
      <c r="E219" s="72">
        <v>180</v>
      </c>
      <c r="F219" s="72">
        <v>1.45</v>
      </c>
      <c r="G219" s="72">
        <v>19.05</v>
      </c>
      <c r="H219" s="74">
        <v>0</v>
      </c>
      <c r="I219" s="75">
        <v>0.01</v>
      </c>
      <c r="J219" s="65"/>
      <c r="K219" s="65"/>
    </row>
    <row r="220" spans="1:11" ht="15.6" x14ac:dyDescent="0.3">
      <c r="A220" s="72" t="s">
        <v>17</v>
      </c>
      <c r="B220" s="73" t="s">
        <v>177</v>
      </c>
      <c r="C220" s="73" t="s">
        <v>174</v>
      </c>
      <c r="D220" s="73" t="s">
        <v>192</v>
      </c>
      <c r="E220" s="72">
        <v>225</v>
      </c>
      <c r="F220" s="72">
        <v>2.14</v>
      </c>
      <c r="G220" s="72">
        <v>6.41</v>
      </c>
      <c r="H220" s="74">
        <v>0</v>
      </c>
      <c r="I220" s="75">
        <v>0.01</v>
      </c>
      <c r="J220" s="65"/>
      <c r="K220" s="65"/>
    </row>
    <row r="221" spans="1:11" ht="15.6" x14ac:dyDescent="0.3">
      <c r="A221" s="72" t="s">
        <v>17</v>
      </c>
      <c r="B221" s="73" t="s">
        <v>177</v>
      </c>
      <c r="C221" s="73" t="s">
        <v>180</v>
      </c>
      <c r="D221" s="73" t="s">
        <v>203</v>
      </c>
      <c r="E221" s="72">
        <v>225</v>
      </c>
      <c r="F221" s="72">
        <v>2.5499999999999998</v>
      </c>
      <c r="G221" s="72">
        <v>25.4</v>
      </c>
      <c r="H221" s="74">
        <v>0</v>
      </c>
      <c r="I221" s="75">
        <v>0.01</v>
      </c>
      <c r="J221" s="65"/>
      <c r="K221" s="65"/>
    </row>
    <row r="222" spans="1:11" ht="15.6" x14ac:dyDescent="0.3">
      <c r="A222" s="72" t="s">
        <v>17</v>
      </c>
      <c r="B222" s="73" t="s">
        <v>177</v>
      </c>
      <c r="C222" s="73" t="s">
        <v>197</v>
      </c>
      <c r="D222" s="73" t="s">
        <v>187</v>
      </c>
      <c r="E222" s="72">
        <v>225</v>
      </c>
      <c r="F222" s="72">
        <v>4.57</v>
      </c>
      <c r="G222" s="72">
        <v>18.79</v>
      </c>
      <c r="H222" s="74">
        <v>0</v>
      </c>
      <c r="I222" s="75">
        <v>0.01</v>
      </c>
      <c r="J222" s="65"/>
      <c r="K222" s="65"/>
    </row>
    <row r="223" spans="1:11" ht="15.6" x14ac:dyDescent="0.3">
      <c r="A223" s="72" t="s">
        <v>15</v>
      </c>
      <c r="B223" s="73" t="s">
        <v>188</v>
      </c>
      <c r="C223" s="73" t="s">
        <v>196</v>
      </c>
      <c r="D223" s="73" t="s">
        <v>181</v>
      </c>
      <c r="E223" s="72">
        <v>180</v>
      </c>
      <c r="F223" s="72">
        <v>0.71</v>
      </c>
      <c r="G223" s="72">
        <v>16.559999999999999</v>
      </c>
      <c r="H223" s="74">
        <v>0</v>
      </c>
      <c r="I223" s="75">
        <v>0.01</v>
      </c>
      <c r="J223" s="65"/>
      <c r="K223" s="65"/>
    </row>
    <row r="224" spans="1:11" ht="15.6" x14ac:dyDescent="0.3">
      <c r="A224" s="72" t="s">
        <v>17</v>
      </c>
      <c r="B224" s="73" t="s">
        <v>177</v>
      </c>
      <c r="C224" s="73" t="s">
        <v>178</v>
      </c>
      <c r="D224" s="73" t="s">
        <v>189</v>
      </c>
      <c r="E224" s="72">
        <v>225</v>
      </c>
      <c r="F224" s="72">
        <v>1.62</v>
      </c>
      <c r="G224" s="72">
        <v>8.75</v>
      </c>
      <c r="H224" s="74">
        <v>0</v>
      </c>
      <c r="I224" s="75">
        <v>0.01</v>
      </c>
      <c r="J224" s="65"/>
      <c r="K224" s="65"/>
    </row>
    <row r="225" spans="1:11" ht="15.6" x14ac:dyDescent="0.3">
      <c r="A225" s="72" t="s">
        <v>18</v>
      </c>
      <c r="B225" s="73" t="s">
        <v>185</v>
      </c>
      <c r="C225" s="73" t="s">
        <v>178</v>
      </c>
      <c r="D225" s="73" t="s">
        <v>182</v>
      </c>
      <c r="E225" s="72">
        <v>247.5</v>
      </c>
      <c r="F225" s="72">
        <v>1.6</v>
      </c>
      <c r="G225" s="72">
        <v>11.82</v>
      </c>
      <c r="H225" s="74">
        <v>0</v>
      </c>
      <c r="I225" s="75">
        <v>0.01</v>
      </c>
      <c r="J225" s="65"/>
      <c r="K225" s="65"/>
    </row>
    <row r="226" spans="1:11" ht="15.6" x14ac:dyDescent="0.3">
      <c r="A226" s="72" t="s">
        <v>20</v>
      </c>
      <c r="B226" s="73" t="s">
        <v>186</v>
      </c>
      <c r="C226" s="73" t="s">
        <v>178</v>
      </c>
      <c r="D226" s="73" t="s">
        <v>179</v>
      </c>
      <c r="E226" s="72">
        <v>292.5</v>
      </c>
      <c r="F226" s="72">
        <v>1.58</v>
      </c>
      <c r="G226" s="72">
        <v>13.51</v>
      </c>
      <c r="H226" s="74">
        <v>0</v>
      </c>
      <c r="I226" s="75">
        <v>0.01</v>
      </c>
      <c r="J226" s="65"/>
      <c r="K226" s="65"/>
    </row>
    <row r="227" spans="1:11" ht="15.6" x14ac:dyDescent="0.3">
      <c r="A227" s="72" t="s">
        <v>14</v>
      </c>
      <c r="B227" s="73" t="s">
        <v>198</v>
      </c>
      <c r="C227" s="73" t="s">
        <v>196</v>
      </c>
      <c r="D227" s="73" t="s">
        <v>200</v>
      </c>
      <c r="E227" s="72">
        <v>157.5</v>
      </c>
      <c r="F227" s="72">
        <v>0.74</v>
      </c>
      <c r="G227" s="72">
        <v>4.2300000000000004</v>
      </c>
      <c r="H227" s="74">
        <v>0</v>
      </c>
      <c r="I227" s="75">
        <v>0.01</v>
      </c>
      <c r="J227" s="65"/>
      <c r="K227" s="65"/>
    </row>
    <row r="228" spans="1:11" ht="15.6" x14ac:dyDescent="0.3">
      <c r="A228" s="72" t="s">
        <v>15</v>
      </c>
      <c r="B228" s="73" t="s">
        <v>188</v>
      </c>
      <c r="C228" s="73" t="s">
        <v>178</v>
      </c>
      <c r="D228" s="73" t="s">
        <v>200</v>
      </c>
      <c r="E228" s="72">
        <v>180</v>
      </c>
      <c r="F228" s="72">
        <v>1.72</v>
      </c>
      <c r="G228" s="72">
        <v>5.63</v>
      </c>
      <c r="H228" s="74">
        <v>0</v>
      </c>
      <c r="I228" s="75">
        <v>0.01</v>
      </c>
      <c r="J228" s="65"/>
      <c r="K228" s="65"/>
    </row>
    <row r="229" spans="1:11" ht="15.6" x14ac:dyDescent="0.3">
      <c r="A229" s="72" t="s">
        <v>15</v>
      </c>
      <c r="B229" s="73" t="s">
        <v>188</v>
      </c>
      <c r="C229" s="73" t="s">
        <v>178</v>
      </c>
      <c r="D229" s="73" t="s">
        <v>194</v>
      </c>
      <c r="E229" s="72">
        <v>180</v>
      </c>
      <c r="F229" s="72">
        <v>1.56</v>
      </c>
      <c r="G229" s="72">
        <v>20.98</v>
      </c>
      <c r="H229" s="74">
        <v>0</v>
      </c>
      <c r="I229" s="75">
        <v>0.01</v>
      </c>
      <c r="J229" s="65"/>
      <c r="K229" s="65"/>
    </row>
    <row r="230" spans="1:11" ht="15.6" x14ac:dyDescent="0.3">
      <c r="A230" s="72" t="s">
        <v>16</v>
      </c>
      <c r="B230" s="73" t="s">
        <v>173</v>
      </c>
      <c r="C230" s="73" t="s">
        <v>178</v>
      </c>
      <c r="D230" s="73" t="s">
        <v>202</v>
      </c>
      <c r="E230" s="72">
        <v>202.5</v>
      </c>
      <c r="F230" s="72">
        <v>1.94</v>
      </c>
      <c r="G230" s="72">
        <v>3.66</v>
      </c>
      <c r="H230" s="74">
        <v>0</v>
      </c>
      <c r="I230" s="75">
        <v>0.01</v>
      </c>
      <c r="J230" s="65"/>
      <c r="K230" s="65"/>
    </row>
    <row r="231" spans="1:11" ht="15.6" x14ac:dyDescent="0.3">
      <c r="A231" s="72" t="s">
        <v>17</v>
      </c>
      <c r="B231" s="73" t="s">
        <v>177</v>
      </c>
      <c r="C231" s="73" t="s">
        <v>183</v>
      </c>
      <c r="D231" s="73" t="s">
        <v>199</v>
      </c>
      <c r="E231" s="72">
        <v>225</v>
      </c>
      <c r="F231" s="72">
        <v>3.05</v>
      </c>
      <c r="G231" s="72">
        <v>23.26</v>
      </c>
      <c r="H231" s="74">
        <v>0</v>
      </c>
      <c r="I231" s="75">
        <v>0.01</v>
      </c>
      <c r="J231" s="65"/>
      <c r="K231" s="65"/>
    </row>
    <row r="232" spans="1:11" ht="15.6" x14ac:dyDescent="0.3">
      <c r="A232" s="72" t="s">
        <v>18</v>
      </c>
      <c r="B232" s="73" t="s">
        <v>185</v>
      </c>
      <c r="C232" s="73" t="s">
        <v>183</v>
      </c>
      <c r="D232" s="73" t="s">
        <v>175</v>
      </c>
      <c r="E232" s="72">
        <v>247.5</v>
      </c>
      <c r="F232" s="72">
        <v>3.12</v>
      </c>
      <c r="G232" s="72">
        <v>15.87</v>
      </c>
      <c r="H232" s="74">
        <v>0</v>
      </c>
      <c r="I232" s="75">
        <v>0.01</v>
      </c>
      <c r="J232" s="65"/>
      <c r="K232" s="65"/>
    </row>
    <row r="233" spans="1:11" ht="15.6" x14ac:dyDescent="0.3">
      <c r="A233" s="72" t="s">
        <v>19</v>
      </c>
      <c r="B233" s="73" t="s">
        <v>190</v>
      </c>
      <c r="C233" s="73" t="s">
        <v>183</v>
      </c>
      <c r="D233" s="73" t="s">
        <v>181</v>
      </c>
      <c r="E233" s="72">
        <v>270</v>
      </c>
      <c r="F233" s="72">
        <v>3.03</v>
      </c>
      <c r="G233" s="72">
        <v>17.649999999999999</v>
      </c>
      <c r="H233" s="74">
        <v>0</v>
      </c>
      <c r="I233" s="75">
        <v>0.01</v>
      </c>
      <c r="J233" s="65"/>
      <c r="K233" s="65"/>
    </row>
    <row r="234" spans="1:11" ht="15.6" x14ac:dyDescent="0.3">
      <c r="A234" s="72" t="s">
        <v>74</v>
      </c>
      <c r="B234" s="73" t="s">
        <v>193</v>
      </c>
      <c r="C234" s="73" t="s">
        <v>184</v>
      </c>
      <c r="D234" s="73" t="s">
        <v>199</v>
      </c>
      <c r="E234" s="72">
        <v>315</v>
      </c>
      <c r="F234" s="72">
        <v>1.4</v>
      </c>
      <c r="G234" s="72">
        <v>23.26</v>
      </c>
      <c r="H234" s="74">
        <v>0</v>
      </c>
      <c r="I234" s="75">
        <v>0.01</v>
      </c>
      <c r="J234" s="65"/>
      <c r="K234" s="65"/>
    </row>
    <row r="235" spans="1:11" ht="15.6" x14ac:dyDescent="0.3">
      <c r="A235" s="72" t="s">
        <v>14</v>
      </c>
      <c r="B235" s="73" t="s">
        <v>198</v>
      </c>
      <c r="C235" s="73" t="s">
        <v>183</v>
      </c>
      <c r="D235" s="73" t="s">
        <v>189</v>
      </c>
      <c r="E235" s="72">
        <v>157.5</v>
      </c>
      <c r="F235" s="72">
        <v>3.46</v>
      </c>
      <c r="G235" s="72">
        <v>8.83</v>
      </c>
      <c r="H235" s="74">
        <v>0</v>
      </c>
      <c r="I235" s="75">
        <v>0</v>
      </c>
      <c r="J235" s="65"/>
      <c r="K235" s="65"/>
    </row>
    <row r="236" spans="1:11" ht="15.6" x14ac:dyDescent="0.3">
      <c r="A236" s="72" t="s">
        <v>15</v>
      </c>
      <c r="B236" s="73" t="s">
        <v>188</v>
      </c>
      <c r="C236" s="73" t="s">
        <v>191</v>
      </c>
      <c r="D236" s="73" t="s">
        <v>175</v>
      </c>
      <c r="E236" s="72">
        <v>180</v>
      </c>
      <c r="F236" s="72">
        <v>3.51</v>
      </c>
      <c r="G236" s="72">
        <v>15.16</v>
      </c>
      <c r="H236" s="74">
        <v>0</v>
      </c>
      <c r="I236" s="75">
        <v>0</v>
      </c>
      <c r="J236" s="65"/>
      <c r="K236" s="65"/>
    </row>
    <row r="237" spans="1:11" ht="15.6" x14ac:dyDescent="0.3">
      <c r="A237" s="72" t="s">
        <v>16</v>
      </c>
      <c r="B237" s="73" t="s">
        <v>173</v>
      </c>
      <c r="C237" s="73" t="s">
        <v>196</v>
      </c>
      <c r="D237" s="73" t="s">
        <v>179</v>
      </c>
      <c r="E237" s="72">
        <v>202.5</v>
      </c>
      <c r="F237" s="72">
        <v>0.95</v>
      </c>
      <c r="G237" s="72">
        <v>13.24</v>
      </c>
      <c r="H237" s="74">
        <v>0</v>
      </c>
      <c r="I237" s="75">
        <v>0</v>
      </c>
      <c r="J237" s="65"/>
      <c r="K237" s="65"/>
    </row>
    <row r="238" spans="1:11" ht="15.6" x14ac:dyDescent="0.3">
      <c r="A238" s="72" t="s">
        <v>16</v>
      </c>
      <c r="B238" s="73" t="s">
        <v>173</v>
      </c>
      <c r="C238" s="73" t="s">
        <v>184</v>
      </c>
      <c r="D238" s="73" t="s">
        <v>194</v>
      </c>
      <c r="E238" s="72">
        <v>202.5</v>
      </c>
      <c r="F238" s="72">
        <v>1.46</v>
      </c>
      <c r="G238" s="72">
        <v>21.46</v>
      </c>
      <c r="H238" s="74">
        <v>0</v>
      </c>
      <c r="I238" s="75">
        <v>0</v>
      </c>
      <c r="J238" s="65"/>
      <c r="K238" s="65"/>
    </row>
    <row r="239" spans="1:11" ht="15.6" x14ac:dyDescent="0.3">
      <c r="A239" s="72" t="s">
        <v>16</v>
      </c>
      <c r="B239" s="73" t="s">
        <v>173</v>
      </c>
      <c r="C239" s="73" t="s">
        <v>191</v>
      </c>
      <c r="D239" s="73" t="s">
        <v>182</v>
      </c>
      <c r="E239" s="72">
        <v>202.5</v>
      </c>
      <c r="F239" s="72">
        <v>3.85</v>
      </c>
      <c r="G239" s="72">
        <v>11.15</v>
      </c>
      <c r="H239" s="74">
        <v>0</v>
      </c>
      <c r="I239" s="75">
        <v>0</v>
      </c>
      <c r="J239" s="65"/>
      <c r="K239" s="65"/>
    </row>
    <row r="240" spans="1:11" ht="15.6" x14ac:dyDescent="0.3">
      <c r="A240" s="72" t="s">
        <v>17</v>
      </c>
      <c r="B240" s="73" t="s">
        <v>177</v>
      </c>
      <c r="C240" s="73" t="s">
        <v>184</v>
      </c>
      <c r="D240" s="73" t="s">
        <v>199</v>
      </c>
      <c r="E240" s="72">
        <v>225</v>
      </c>
      <c r="F240" s="72">
        <v>1.44</v>
      </c>
      <c r="G240" s="72">
        <v>23.37</v>
      </c>
      <c r="H240" s="74">
        <v>0</v>
      </c>
      <c r="I240" s="75">
        <v>0</v>
      </c>
      <c r="J240" s="65"/>
      <c r="K240" s="65"/>
    </row>
    <row r="241" spans="1:11" ht="15.6" x14ac:dyDescent="0.3">
      <c r="A241" s="72" t="s">
        <v>17</v>
      </c>
      <c r="B241" s="73" t="s">
        <v>177</v>
      </c>
      <c r="C241" s="73" t="s">
        <v>174</v>
      </c>
      <c r="D241" s="73" t="s">
        <v>200</v>
      </c>
      <c r="E241" s="72">
        <v>225</v>
      </c>
      <c r="F241" s="72">
        <v>2.14</v>
      </c>
      <c r="G241" s="72">
        <v>5.33</v>
      </c>
      <c r="H241" s="74">
        <v>0</v>
      </c>
      <c r="I241" s="75">
        <v>0</v>
      </c>
      <c r="J241" s="65"/>
      <c r="K241" s="65"/>
    </row>
    <row r="242" spans="1:11" ht="15.6" x14ac:dyDescent="0.3">
      <c r="A242" s="72" t="s">
        <v>18</v>
      </c>
      <c r="B242" s="73" t="s">
        <v>185</v>
      </c>
      <c r="C242" s="73" t="s">
        <v>183</v>
      </c>
      <c r="D242" s="73" t="s">
        <v>194</v>
      </c>
      <c r="E242" s="72">
        <v>247.5</v>
      </c>
      <c r="F242" s="72">
        <v>3.23</v>
      </c>
      <c r="G242" s="72">
        <v>21.19</v>
      </c>
      <c r="H242" s="74">
        <v>0</v>
      </c>
      <c r="I242" s="75">
        <v>0</v>
      </c>
      <c r="J242" s="65"/>
      <c r="K242" s="65"/>
    </row>
    <row r="243" spans="1:11" ht="15.6" x14ac:dyDescent="0.3">
      <c r="A243" s="72" t="s">
        <v>74</v>
      </c>
      <c r="B243" s="73" t="s">
        <v>193</v>
      </c>
      <c r="C243" s="73" t="s">
        <v>174</v>
      </c>
      <c r="D243" s="73" t="s">
        <v>199</v>
      </c>
      <c r="E243" s="72">
        <v>315</v>
      </c>
      <c r="F243" s="72">
        <v>2.11</v>
      </c>
      <c r="G243" s="72">
        <v>23.38</v>
      </c>
      <c r="H243" s="74">
        <v>0</v>
      </c>
      <c r="I243" s="75">
        <v>0</v>
      </c>
      <c r="J243" s="65"/>
      <c r="K243" s="65"/>
    </row>
    <row r="244" spans="1:11" ht="15.6" x14ac:dyDescent="0.3">
      <c r="A244" s="72" t="s">
        <v>14</v>
      </c>
      <c r="B244" s="73" t="s">
        <v>198</v>
      </c>
      <c r="C244" s="73" t="s">
        <v>178</v>
      </c>
      <c r="D244" s="73" t="s">
        <v>179</v>
      </c>
      <c r="E244" s="72">
        <v>157.5</v>
      </c>
      <c r="F244" s="72">
        <v>1.57</v>
      </c>
      <c r="G244" s="72">
        <v>12.2</v>
      </c>
      <c r="H244" s="74">
        <v>0</v>
      </c>
      <c r="I244" s="75">
        <v>0</v>
      </c>
      <c r="J244" s="65"/>
      <c r="K244" s="65"/>
    </row>
    <row r="245" spans="1:11" ht="15.6" x14ac:dyDescent="0.3">
      <c r="A245" s="72" t="s">
        <v>14</v>
      </c>
      <c r="B245" s="73" t="s">
        <v>198</v>
      </c>
      <c r="C245" s="73" t="s">
        <v>174</v>
      </c>
      <c r="D245" s="73" t="s">
        <v>192</v>
      </c>
      <c r="E245" s="72">
        <v>157.5</v>
      </c>
      <c r="F245" s="72">
        <v>2.41</v>
      </c>
      <c r="G245" s="72">
        <v>7.68</v>
      </c>
      <c r="H245" s="74">
        <v>0</v>
      </c>
      <c r="I245" s="75">
        <v>0</v>
      </c>
      <c r="J245" s="65"/>
      <c r="K245" s="65"/>
    </row>
    <row r="246" spans="1:11" ht="15.6" x14ac:dyDescent="0.3">
      <c r="A246" s="72" t="s">
        <v>14</v>
      </c>
      <c r="B246" s="73" t="s">
        <v>198</v>
      </c>
      <c r="C246" s="73" t="s">
        <v>191</v>
      </c>
      <c r="D246" s="73" t="s">
        <v>189</v>
      </c>
      <c r="E246" s="72">
        <v>157.5</v>
      </c>
      <c r="F246" s="72">
        <v>3.58</v>
      </c>
      <c r="G246" s="72">
        <v>8.85</v>
      </c>
      <c r="H246" s="74">
        <v>0</v>
      </c>
      <c r="I246" s="75">
        <v>0</v>
      </c>
      <c r="J246" s="65"/>
      <c r="K246" s="65"/>
    </row>
    <row r="247" spans="1:11" ht="15.6" x14ac:dyDescent="0.3">
      <c r="A247" s="72" t="s">
        <v>17</v>
      </c>
      <c r="B247" s="73" t="s">
        <v>177</v>
      </c>
      <c r="C247" s="73" t="s">
        <v>178</v>
      </c>
      <c r="D247" s="73" t="s">
        <v>202</v>
      </c>
      <c r="E247" s="72">
        <v>225</v>
      </c>
      <c r="F247" s="72">
        <v>1.83</v>
      </c>
      <c r="G247" s="72">
        <v>3.94</v>
      </c>
      <c r="H247" s="74">
        <v>0</v>
      </c>
      <c r="I247" s="75">
        <v>0</v>
      </c>
      <c r="J247" s="65"/>
      <c r="K247" s="65"/>
    </row>
    <row r="248" spans="1:11" ht="15.6" x14ac:dyDescent="0.3">
      <c r="A248" s="72" t="s">
        <v>18</v>
      </c>
      <c r="B248" s="73" t="s">
        <v>185</v>
      </c>
      <c r="C248" s="73" t="s">
        <v>178</v>
      </c>
      <c r="D248" s="73" t="s">
        <v>192</v>
      </c>
      <c r="E248" s="72">
        <v>247.5</v>
      </c>
      <c r="F248" s="72">
        <v>1.97</v>
      </c>
      <c r="G248" s="72">
        <v>6.23</v>
      </c>
      <c r="H248" s="74">
        <v>0</v>
      </c>
      <c r="I248" s="75">
        <v>0</v>
      </c>
      <c r="J248" s="65"/>
      <c r="K248" s="65"/>
    </row>
    <row r="249" spans="1:11" ht="15.6" x14ac:dyDescent="0.3">
      <c r="A249" s="72" t="s">
        <v>19</v>
      </c>
      <c r="B249" s="73" t="s">
        <v>190</v>
      </c>
      <c r="C249" s="73" t="s">
        <v>180</v>
      </c>
      <c r="D249" s="73" t="s">
        <v>175</v>
      </c>
      <c r="E249" s="72">
        <v>270</v>
      </c>
      <c r="F249" s="72">
        <v>2.61</v>
      </c>
      <c r="G249" s="72">
        <v>15.62</v>
      </c>
      <c r="H249" s="74">
        <v>0</v>
      </c>
      <c r="I249" s="75">
        <v>0</v>
      </c>
      <c r="J249" s="65"/>
      <c r="K249" s="65"/>
    </row>
    <row r="250" spans="1:11" ht="15.6" x14ac:dyDescent="0.3">
      <c r="A250" s="72" t="s">
        <v>14</v>
      </c>
      <c r="B250" s="73" t="s">
        <v>198</v>
      </c>
      <c r="C250" s="73" t="s">
        <v>196</v>
      </c>
      <c r="D250" s="73" t="s">
        <v>181</v>
      </c>
      <c r="E250" s="72">
        <v>157.5</v>
      </c>
      <c r="F250" s="72">
        <v>0.69</v>
      </c>
      <c r="G250" s="72">
        <v>17.239999999999998</v>
      </c>
      <c r="H250" s="74">
        <v>0</v>
      </c>
      <c r="I250" s="75">
        <v>0</v>
      </c>
      <c r="J250" s="65"/>
      <c r="K250" s="65"/>
    </row>
    <row r="251" spans="1:11" ht="15.6" x14ac:dyDescent="0.3">
      <c r="A251" s="72" t="s">
        <v>15</v>
      </c>
      <c r="B251" s="73" t="s">
        <v>188</v>
      </c>
      <c r="C251" s="73" t="s">
        <v>180</v>
      </c>
      <c r="D251" s="73" t="s">
        <v>199</v>
      </c>
      <c r="E251" s="72">
        <v>180</v>
      </c>
      <c r="F251" s="72">
        <v>2.59</v>
      </c>
      <c r="G251" s="72">
        <v>22.74</v>
      </c>
      <c r="H251" s="74">
        <v>0</v>
      </c>
      <c r="I251" s="75">
        <v>0</v>
      </c>
      <c r="J251" s="65"/>
      <c r="K251" s="65"/>
    </row>
    <row r="252" spans="1:11" ht="15.6" x14ac:dyDescent="0.3">
      <c r="A252" s="72" t="s">
        <v>15</v>
      </c>
      <c r="B252" s="73" t="s">
        <v>188</v>
      </c>
      <c r="C252" s="73" t="s">
        <v>183</v>
      </c>
      <c r="D252" s="73" t="s">
        <v>194</v>
      </c>
      <c r="E252" s="72">
        <v>180</v>
      </c>
      <c r="F252" s="72">
        <v>3.2</v>
      </c>
      <c r="G252" s="72">
        <v>20.84</v>
      </c>
      <c r="H252" s="74">
        <v>0</v>
      </c>
      <c r="I252" s="75">
        <v>0</v>
      </c>
      <c r="J252" s="65"/>
      <c r="K252" s="65"/>
    </row>
    <row r="253" spans="1:11" ht="15.6" x14ac:dyDescent="0.3">
      <c r="A253" s="72" t="s">
        <v>16</v>
      </c>
      <c r="B253" s="73" t="s">
        <v>173</v>
      </c>
      <c r="C253" s="73" t="s">
        <v>174</v>
      </c>
      <c r="D253" s="73" t="s">
        <v>202</v>
      </c>
      <c r="E253" s="72">
        <v>202.5</v>
      </c>
      <c r="F253" s="72">
        <v>2.04</v>
      </c>
      <c r="G253" s="72">
        <v>2.92</v>
      </c>
      <c r="H253" s="74">
        <v>0</v>
      </c>
      <c r="I253" s="75">
        <v>0</v>
      </c>
      <c r="J253" s="65"/>
      <c r="K253" s="65"/>
    </row>
    <row r="254" spans="1:11" ht="15.6" x14ac:dyDescent="0.3">
      <c r="A254" s="72" t="s">
        <v>16</v>
      </c>
      <c r="B254" s="73" t="s">
        <v>173</v>
      </c>
      <c r="C254" s="73" t="s">
        <v>195</v>
      </c>
      <c r="D254" s="73" t="s">
        <v>194</v>
      </c>
      <c r="E254" s="72">
        <v>202.5</v>
      </c>
      <c r="F254" s="72">
        <v>4.01</v>
      </c>
      <c r="G254" s="72">
        <v>20.69</v>
      </c>
      <c r="H254" s="74">
        <v>0</v>
      </c>
      <c r="I254" s="75">
        <v>0</v>
      </c>
      <c r="J254" s="65"/>
      <c r="K254" s="65"/>
    </row>
    <row r="255" spans="1:11" ht="15.6" x14ac:dyDescent="0.3">
      <c r="A255" s="72" t="s">
        <v>18</v>
      </c>
      <c r="B255" s="73" t="s">
        <v>185</v>
      </c>
      <c r="C255" s="73" t="s">
        <v>174</v>
      </c>
      <c r="D255" s="73" t="s">
        <v>194</v>
      </c>
      <c r="E255" s="72">
        <v>247.5</v>
      </c>
      <c r="F255" s="72">
        <v>2.0699999999999998</v>
      </c>
      <c r="G255" s="72">
        <v>20.84</v>
      </c>
      <c r="H255" s="74">
        <v>0</v>
      </c>
      <c r="I255" s="75">
        <v>0</v>
      </c>
      <c r="J255" s="65"/>
      <c r="K255" s="65"/>
    </row>
    <row r="256" spans="1:11" ht="15.6" x14ac:dyDescent="0.3">
      <c r="A256" s="72" t="s">
        <v>16</v>
      </c>
      <c r="B256" s="73" t="s">
        <v>173</v>
      </c>
      <c r="C256" s="73" t="s">
        <v>196</v>
      </c>
      <c r="D256" s="73" t="s">
        <v>200</v>
      </c>
      <c r="E256" s="72">
        <v>202.5</v>
      </c>
      <c r="F256" s="72">
        <v>0.52</v>
      </c>
      <c r="G256" s="72">
        <v>5.99</v>
      </c>
      <c r="H256" s="74">
        <v>0</v>
      </c>
      <c r="I256" s="75">
        <v>0</v>
      </c>
      <c r="J256" s="65"/>
      <c r="K256" s="65"/>
    </row>
    <row r="257" spans="1:11" ht="15.6" x14ac:dyDescent="0.3">
      <c r="A257" s="72" t="s">
        <v>17</v>
      </c>
      <c r="B257" s="73" t="s">
        <v>177</v>
      </c>
      <c r="C257" s="73" t="s">
        <v>196</v>
      </c>
      <c r="D257" s="73" t="s">
        <v>179</v>
      </c>
      <c r="E257" s="72">
        <v>225</v>
      </c>
      <c r="F257" s="72">
        <v>0.97</v>
      </c>
      <c r="G257" s="72">
        <v>13.51</v>
      </c>
      <c r="H257" s="74">
        <v>0</v>
      </c>
      <c r="I257" s="75">
        <v>0</v>
      </c>
      <c r="J257" s="65"/>
      <c r="K257" s="65"/>
    </row>
    <row r="258" spans="1:11" ht="15.6" x14ac:dyDescent="0.3">
      <c r="A258" s="72" t="s">
        <v>17</v>
      </c>
      <c r="B258" s="73" t="s">
        <v>177</v>
      </c>
      <c r="C258" s="73" t="s">
        <v>196</v>
      </c>
      <c r="D258" s="73" t="s">
        <v>194</v>
      </c>
      <c r="E258" s="72">
        <v>225</v>
      </c>
      <c r="F258" s="72">
        <v>0.92</v>
      </c>
      <c r="G258" s="72">
        <v>21.28</v>
      </c>
      <c r="H258" s="74">
        <v>0</v>
      </c>
      <c r="I258" s="75">
        <v>0</v>
      </c>
      <c r="J258" s="65"/>
      <c r="K258" s="65"/>
    </row>
    <row r="259" spans="1:11" ht="15.6" x14ac:dyDescent="0.3">
      <c r="A259" s="72" t="s">
        <v>17</v>
      </c>
      <c r="B259" s="73" t="s">
        <v>177</v>
      </c>
      <c r="C259" s="73" t="s">
        <v>178</v>
      </c>
      <c r="D259" s="73" t="s">
        <v>192</v>
      </c>
      <c r="E259" s="72">
        <v>225</v>
      </c>
      <c r="F259" s="72">
        <v>1.99</v>
      </c>
      <c r="G259" s="72">
        <v>6.14</v>
      </c>
      <c r="H259" s="74">
        <v>0</v>
      </c>
      <c r="I259" s="75">
        <v>0</v>
      </c>
      <c r="J259" s="65"/>
      <c r="K259" s="65"/>
    </row>
    <row r="260" spans="1:11" ht="15.6" x14ac:dyDescent="0.3">
      <c r="A260" s="72" t="s">
        <v>17</v>
      </c>
      <c r="B260" s="73" t="s">
        <v>177</v>
      </c>
      <c r="C260" s="73" t="s">
        <v>174</v>
      </c>
      <c r="D260" s="73" t="s">
        <v>204</v>
      </c>
      <c r="E260" s="72">
        <v>225</v>
      </c>
      <c r="F260" s="72">
        <v>2.46</v>
      </c>
      <c r="G260" s="72">
        <v>26.32</v>
      </c>
      <c r="H260" s="74">
        <v>0</v>
      </c>
      <c r="I260" s="75">
        <v>0</v>
      </c>
      <c r="J260" s="65"/>
      <c r="K260" s="65"/>
    </row>
    <row r="261" spans="1:11" ht="15.6" x14ac:dyDescent="0.3">
      <c r="A261" s="72" t="s">
        <v>18</v>
      </c>
      <c r="B261" s="73" t="s">
        <v>185</v>
      </c>
      <c r="C261" s="73" t="s">
        <v>178</v>
      </c>
      <c r="D261" s="73" t="s">
        <v>194</v>
      </c>
      <c r="E261" s="72">
        <v>247.5</v>
      </c>
      <c r="F261" s="72">
        <v>1.99</v>
      </c>
      <c r="G261" s="72">
        <v>20.62</v>
      </c>
      <c r="H261" s="74">
        <v>0</v>
      </c>
      <c r="I261" s="75">
        <v>0</v>
      </c>
      <c r="J261" s="65"/>
      <c r="K261" s="65"/>
    </row>
    <row r="262" spans="1:11" ht="15.6" x14ac:dyDescent="0.3">
      <c r="A262" s="72" t="s">
        <v>14</v>
      </c>
      <c r="B262" s="73" t="s">
        <v>198</v>
      </c>
      <c r="C262" s="73" t="s">
        <v>180</v>
      </c>
      <c r="D262" s="73" t="s">
        <v>192</v>
      </c>
      <c r="E262" s="72">
        <v>157.5</v>
      </c>
      <c r="F262" s="72">
        <v>2.5099999999999998</v>
      </c>
      <c r="G262" s="72">
        <v>7.87</v>
      </c>
      <c r="H262" s="74">
        <v>0</v>
      </c>
      <c r="I262" s="75">
        <v>0</v>
      </c>
      <c r="J262" s="65"/>
      <c r="K262" s="65"/>
    </row>
    <row r="263" spans="1:11" ht="15.6" x14ac:dyDescent="0.3">
      <c r="A263" s="72" t="s">
        <v>15</v>
      </c>
      <c r="B263" s="73" t="s">
        <v>188</v>
      </c>
      <c r="C263" s="73" t="s">
        <v>183</v>
      </c>
      <c r="D263" s="73" t="s">
        <v>187</v>
      </c>
      <c r="E263" s="72">
        <v>180</v>
      </c>
      <c r="F263" s="72">
        <v>3.11</v>
      </c>
      <c r="G263" s="72">
        <v>19.61</v>
      </c>
      <c r="H263" s="74">
        <v>0</v>
      </c>
      <c r="I263" s="75">
        <v>0</v>
      </c>
      <c r="J263" s="65"/>
      <c r="K263" s="65"/>
    </row>
    <row r="264" spans="1:11" ht="15.6" x14ac:dyDescent="0.3">
      <c r="A264" s="72" t="s">
        <v>15</v>
      </c>
      <c r="B264" s="73" t="s">
        <v>188</v>
      </c>
      <c r="C264" s="73" t="s">
        <v>191</v>
      </c>
      <c r="D264" s="73" t="s">
        <v>187</v>
      </c>
      <c r="E264" s="72">
        <v>180</v>
      </c>
      <c r="F264" s="72">
        <v>3.59</v>
      </c>
      <c r="G264" s="72">
        <v>19.23</v>
      </c>
      <c r="H264" s="74">
        <v>0</v>
      </c>
      <c r="I264" s="75">
        <v>0</v>
      </c>
      <c r="J264" s="65"/>
      <c r="K264" s="65"/>
    </row>
    <row r="265" spans="1:11" ht="15.6" x14ac:dyDescent="0.3">
      <c r="A265" s="72" t="s">
        <v>17</v>
      </c>
      <c r="B265" s="73" t="s">
        <v>177</v>
      </c>
      <c r="C265" s="73" t="s">
        <v>196</v>
      </c>
      <c r="D265" s="73" t="s">
        <v>187</v>
      </c>
      <c r="E265" s="72">
        <v>225</v>
      </c>
      <c r="F265" s="72">
        <v>0.98</v>
      </c>
      <c r="G265" s="72">
        <v>19.61</v>
      </c>
      <c r="H265" s="74">
        <v>0</v>
      </c>
      <c r="I265" s="75">
        <v>0</v>
      </c>
      <c r="J265" s="65"/>
      <c r="K265" s="65"/>
    </row>
    <row r="266" spans="1:11" ht="15.6" x14ac:dyDescent="0.3">
      <c r="A266" s="72" t="s">
        <v>17</v>
      </c>
      <c r="B266" s="73" t="s">
        <v>177</v>
      </c>
      <c r="C266" s="73" t="s">
        <v>174</v>
      </c>
      <c r="D266" s="73" t="s">
        <v>203</v>
      </c>
      <c r="E266" s="72">
        <v>225</v>
      </c>
      <c r="F266" s="72">
        <v>2.5</v>
      </c>
      <c r="G266" s="72">
        <v>25.64</v>
      </c>
      <c r="H266" s="74">
        <v>0</v>
      </c>
      <c r="I266" s="75">
        <v>0</v>
      </c>
      <c r="J266" s="65"/>
      <c r="K266" s="65"/>
    </row>
    <row r="267" spans="1:11" ht="15.6" x14ac:dyDescent="0.3">
      <c r="A267" s="72" t="s">
        <v>17</v>
      </c>
      <c r="B267" s="73" t="s">
        <v>177</v>
      </c>
      <c r="C267" s="73" t="s">
        <v>183</v>
      </c>
      <c r="D267" s="73" t="s">
        <v>182</v>
      </c>
      <c r="E267" s="72">
        <v>225</v>
      </c>
      <c r="F267" s="72">
        <v>3.01</v>
      </c>
      <c r="G267" s="72">
        <v>11.76</v>
      </c>
      <c r="H267" s="74">
        <v>0</v>
      </c>
      <c r="I267" s="75">
        <v>0</v>
      </c>
      <c r="J267" s="65"/>
      <c r="K267" s="65"/>
    </row>
    <row r="268" spans="1:11" ht="15.6" x14ac:dyDescent="0.3">
      <c r="A268" s="72" t="s">
        <v>17</v>
      </c>
      <c r="B268" s="73" t="s">
        <v>177</v>
      </c>
      <c r="C268" s="73" t="s">
        <v>195</v>
      </c>
      <c r="D268" s="73" t="s">
        <v>194</v>
      </c>
      <c r="E268" s="72">
        <v>225</v>
      </c>
      <c r="F268" s="72">
        <v>4.03</v>
      </c>
      <c r="G268" s="72">
        <v>20.41</v>
      </c>
      <c r="H268" s="74">
        <v>0</v>
      </c>
      <c r="I268" s="75">
        <v>0</v>
      </c>
      <c r="J268" s="65"/>
      <c r="K268" s="65"/>
    </row>
    <row r="269" spans="1:11" ht="15.6" x14ac:dyDescent="0.3">
      <c r="A269" s="72" t="s">
        <v>17</v>
      </c>
      <c r="B269" s="73" t="s">
        <v>177</v>
      </c>
      <c r="C269" s="73" t="s">
        <v>197</v>
      </c>
      <c r="D269" s="73" t="s">
        <v>181</v>
      </c>
      <c r="E269" s="72">
        <v>225</v>
      </c>
      <c r="F269" s="72">
        <v>4.53</v>
      </c>
      <c r="G269" s="72">
        <v>17.86</v>
      </c>
      <c r="H269" s="74">
        <v>0</v>
      </c>
      <c r="I269" s="75">
        <v>0</v>
      </c>
      <c r="J269" s="65"/>
      <c r="K269" s="65"/>
    </row>
    <row r="270" spans="1:11" ht="15.6" x14ac:dyDescent="0.3">
      <c r="A270" s="72" t="s">
        <v>18</v>
      </c>
      <c r="B270" s="73" t="s">
        <v>185</v>
      </c>
      <c r="C270" s="73" t="s">
        <v>184</v>
      </c>
      <c r="D270" s="73" t="s">
        <v>189</v>
      </c>
      <c r="E270" s="72">
        <v>247.5</v>
      </c>
      <c r="F270" s="72">
        <v>1.42</v>
      </c>
      <c r="G270" s="72">
        <v>8.93</v>
      </c>
      <c r="H270" s="74">
        <v>0</v>
      </c>
      <c r="I270" s="75">
        <v>0</v>
      </c>
      <c r="J270" s="65"/>
      <c r="K270" s="65"/>
    </row>
    <row r="271" spans="1:11" ht="15.6" x14ac:dyDescent="0.3">
      <c r="A271" s="72" t="s">
        <v>18</v>
      </c>
      <c r="B271" s="73" t="s">
        <v>185</v>
      </c>
      <c r="C271" s="73" t="s">
        <v>174</v>
      </c>
      <c r="D271" s="73" t="s">
        <v>199</v>
      </c>
      <c r="E271" s="72">
        <v>247.5</v>
      </c>
      <c r="F271" s="72">
        <v>2.06</v>
      </c>
      <c r="G271" s="72">
        <v>22.73</v>
      </c>
      <c r="H271" s="74">
        <v>0</v>
      </c>
      <c r="I271" s="75">
        <v>0</v>
      </c>
      <c r="J271" s="65"/>
      <c r="K271" s="65"/>
    </row>
    <row r="272" spans="1:11" ht="15.6" x14ac:dyDescent="0.3">
      <c r="A272" s="72" t="s">
        <v>18</v>
      </c>
      <c r="B272" s="73" t="s">
        <v>185</v>
      </c>
      <c r="C272" s="73" t="s">
        <v>180</v>
      </c>
      <c r="D272" s="73" t="s">
        <v>194</v>
      </c>
      <c r="E272" s="72">
        <v>247.5</v>
      </c>
      <c r="F272" s="72">
        <v>2.5499999999999998</v>
      </c>
      <c r="G272" s="72">
        <v>21.74</v>
      </c>
      <c r="H272" s="74">
        <v>0</v>
      </c>
      <c r="I272" s="75">
        <v>0</v>
      </c>
      <c r="J272" s="65"/>
      <c r="K272" s="65"/>
    </row>
    <row r="273" spans="1:11" ht="15.6" x14ac:dyDescent="0.3">
      <c r="A273" s="72" t="s">
        <v>74</v>
      </c>
      <c r="B273" s="73" t="s">
        <v>193</v>
      </c>
      <c r="C273" s="73" t="s">
        <v>174</v>
      </c>
      <c r="D273" s="73" t="s">
        <v>175</v>
      </c>
      <c r="E273" s="72">
        <v>315</v>
      </c>
      <c r="F273" s="72">
        <v>2</v>
      </c>
      <c r="G273" s="72">
        <v>15.62</v>
      </c>
      <c r="H273" s="74">
        <v>0</v>
      </c>
      <c r="I273" s="75">
        <v>0</v>
      </c>
      <c r="J273" s="65"/>
      <c r="K273" s="65"/>
    </row>
  </sheetData>
  <autoFilter ref="A2:I273" xr:uid="{885F1274-71B0-4730-BA5F-6D445FC8DECC}"/>
  <mergeCells count="5">
    <mergeCell ref="A1:D1"/>
    <mergeCell ref="E1:G1"/>
    <mergeCell ref="H1:I1"/>
    <mergeCell ref="J3:K3"/>
    <mergeCell ref="J179:K17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70ceb2-cb13-4dc4-b870-6f9e93b103b9">
      <Terms xmlns="http://schemas.microsoft.com/office/infopath/2007/PartnerControls"/>
    </lcf76f155ced4ddcb4097134ff3c332f>
    <TaxCatchAll xmlns="a726eeba-96e5-4a4a-827f-f2e9ac88a1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C99C8CA94F84587D1E6C598D5E24A" ma:contentTypeVersion="12" ma:contentTypeDescription="Crear nuevo documento." ma:contentTypeScope="" ma:versionID="93a3fb749606ae6d54db69e7cc26a228">
  <xsd:schema xmlns:xsd="http://www.w3.org/2001/XMLSchema" xmlns:xs="http://www.w3.org/2001/XMLSchema" xmlns:p="http://schemas.microsoft.com/office/2006/metadata/properties" xmlns:ns2="d470ceb2-cb13-4dc4-b870-6f9e93b103b9" xmlns:ns3="a726eeba-96e5-4a4a-827f-f2e9ac88a1ea" targetNamespace="http://schemas.microsoft.com/office/2006/metadata/properties" ma:root="true" ma:fieldsID="604e5577e6bf52ef466bb7f2c955e187" ns2:_="" ns3:_="">
    <xsd:import namespace="d470ceb2-cb13-4dc4-b870-6f9e93b103b9"/>
    <xsd:import namespace="a726eeba-96e5-4a4a-827f-f2e9ac88a1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0ceb2-cb13-4dc4-b870-6f9e93b10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81fe68b-ad7f-4e8b-8955-840888d12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6eeba-96e5-4a4a-827f-f2e9ac88a1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8e7ee6b-aed4-49fb-aaa2-04587f50daa1}" ma:internalName="TaxCatchAll" ma:showField="CatchAllData" ma:web="a726eeba-96e5-4a4a-827f-f2e9ac88a1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D4E6D-7BA0-4250-AC55-4500F8BFBB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801D2D-120D-4B18-97B1-41D0C8226236}">
  <ds:schemaRefs>
    <ds:schemaRef ds:uri="http://schemas.microsoft.com/office/2006/metadata/properties"/>
    <ds:schemaRef ds:uri="http://schemas.microsoft.com/office/infopath/2007/PartnerControls"/>
    <ds:schemaRef ds:uri="d470ceb2-cb13-4dc4-b870-6f9e93b103b9"/>
    <ds:schemaRef ds:uri="a726eeba-96e5-4a4a-827f-f2e9ac88a1ea"/>
  </ds:schemaRefs>
</ds:datastoreItem>
</file>

<file path=customXml/itemProps3.xml><?xml version="1.0" encoding="utf-8"?>
<ds:datastoreItem xmlns:ds="http://schemas.openxmlformats.org/officeDocument/2006/customXml" ds:itemID="{B7E50FB9-3746-4898-B7D8-F9C5EEC299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0ceb2-cb13-4dc4-b870-6f9e93b103b9"/>
    <ds:schemaRef ds:uri="a726eeba-96e5-4a4a-827f-f2e9ac88a1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TablaOcurrencia_APMT_16sectores</vt:lpstr>
      <vt:lpstr>Tabla_Ocurrencia Insideo</vt:lpstr>
      <vt:lpstr>Tabla_Ocurrencia Insideo 2</vt:lpstr>
      <vt:lpstr>Rosa 16</vt:lpstr>
      <vt:lpstr>Tabla_Ocurrencia APMT</vt:lpstr>
      <vt:lpstr>Escenario 2</vt:lpstr>
      <vt:lpstr>Hoja1</vt:lpstr>
      <vt:lpstr>'Tabla_Ocurrencia Insideo 2'!Área_de_impresión</vt:lpstr>
      <vt:lpstr>'Tabla_Ocurrencia Insideo 2'!Títulos_a_imprimir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IDEC S.A</dc:creator>
  <cp:lastModifiedBy>Gonzalo Ponce de León Jara</cp:lastModifiedBy>
  <cp:lastPrinted>2025-07-23T00:32:44Z</cp:lastPrinted>
  <dcterms:created xsi:type="dcterms:W3CDTF">2025-06-07T00:21:14Z</dcterms:created>
  <dcterms:modified xsi:type="dcterms:W3CDTF">2025-07-31T00:48:55Z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0x0101007CFC99C8CA94F84587D1E6C598D5E24A</vt:lpwstr>
  </property>
  <property fmtid="{D5CDD505-2E9C-101B-9397-08002B2CF9AE}" pid="3" name="MediaServiceImageTags">
    <vt:lpwstr/>
  </property>
</Properties>
</file>